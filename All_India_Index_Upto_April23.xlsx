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813500a3cb211f/Desktop/Data analysis/"/>
    </mc:Choice>
  </mc:AlternateContent>
  <xr:revisionPtr revIDLastSave="0" documentId="13_ncr:1_{51DF9056-26A0-4946-8381-8C91E79BDD15}" xr6:coauthVersionLast="47" xr6:coauthVersionMax="47" xr10:uidLastSave="{00000000-0000-0000-0000-000000000000}"/>
  <bookViews>
    <workbookView xWindow="-108" yWindow="-108" windowWidth="23256" windowHeight="12456" xr2:uid="{808BBE67-9F00-4D96-8558-436327F1FB73}"/>
  </bookViews>
  <sheets>
    <sheet name="All_India_Index_Upto_April23" sheetId="1" r:id="rId1"/>
    <sheet name="Ans1" sheetId="4" r:id="rId2"/>
    <sheet name="Ans2" sheetId="10" r:id="rId3"/>
    <sheet name="Ans3" sheetId="12" r:id="rId4"/>
    <sheet name="Ans3.2" sheetId="13" r:id="rId5"/>
    <sheet name="Ans4" sheetId="15" r:id="rId6"/>
    <sheet name="Sheet2" sheetId="17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B16" i="12" l="1"/>
  <c r="B15" i="12"/>
  <c r="B13" i="12"/>
  <c r="B12" i="12"/>
  <c r="B11" i="12"/>
  <c r="B10" i="12"/>
  <c r="B9" i="12"/>
  <c r="B8" i="12"/>
  <c r="B7" i="12"/>
  <c r="B6" i="12"/>
  <c r="B5" i="12"/>
</calcChain>
</file>

<file path=xl/sharedStrings.xml><?xml version="1.0" encoding="utf-8"?>
<sst xmlns="http://schemas.openxmlformats.org/spreadsheetml/2006/main" count="954" uniqueCount="92">
  <si>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</si>
  <si>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</si>
  <si>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</si>
  <si>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</si>
  <si>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</si>
  <si>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</si>
  <si>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</si>
  <si>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</si>
  <si>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</si>
  <si>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</si>
  <si>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</si>
  <si>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</si>
  <si>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</si>
  <si>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</si>
  <si>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</si>
  <si>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</si>
  <si>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</si>
  <si>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</si>
  <si>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</si>
  <si>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</si>
  <si>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</si>
  <si>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</si>
  <si>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</si>
  <si>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</si>
  <si>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</si>
  <si>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</si>
  <si>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</si>
  <si>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</si>
  <si>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</si>
  <si>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</si>
  <si>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</si>
  <si>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</si>
  <si>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</si>
  <si>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</si>
  <si>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</si>
  <si>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</si>
  <si>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</si>
  <si>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</si>
  <si>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</si>
  <si>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</si>
  <si>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</si>
  <si>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</si>
  <si>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</si>
  <si>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</si>
  <si>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</si>
  <si>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</si>
  <si>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</si>
  <si>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</si>
  <si>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Pan, Tobacco &amp; Intoxicants</t>
  </si>
  <si>
    <t>Clothing &amp; Footwear</t>
  </si>
  <si>
    <t>Fuel &amp; Light</t>
  </si>
  <si>
    <t>Transport &amp; Communication</t>
  </si>
  <si>
    <t>Personal Care &amp; Effects</t>
  </si>
  <si>
    <t>Category</t>
  </si>
  <si>
    <t>CPI Index</t>
  </si>
  <si>
    <t>Contribution%</t>
  </si>
  <si>
    <t>Row Labels</t>
  </si>
  <si>
    <t>YoY Inflation%</t>
  </si>
  <si>
    <t>MoM Inflation% for Food and Beverages</t>
  </si>
  <si>
    <t>Food Category</t>
  </si>
  <si>
    <t>May 2022 CPI</t>
  </si>
  <si>
    <t>May 2023 CPI</t>
  </si>
  <si>
    <t>Absolute Change</t>
  </si>
  <si>
    <r>
      <t xml:space="preserve">Among all food categories, </t>
    </r>
    <r>
      <rPr>
        <b/>
        <sz val="11"/>
        <color theme="1"/>
        <rFont val="Calibri"/>
        <family val="2"/>
        <scheme val="minor"/>
      </rPr>
      <t>Spices</t>
    </r>
    <r>
      <rPr>
        <sz val="11"/>
        <color theme="1"/>
        <rFont val="Calibri"/>
        <family val="2"/>
        <scheme val="minor"/>
      </rPr>
      <t xml:space="preserve"> recorded the highest absolute CPI increase between May 2022 and May 2023, making it the largest contributor to the rise in food inflation during the period.</t>
    </r>
  </si>
  <si>
    <t>Mar-2019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</si>
  <si>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</si>
  <si>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</si>
  <si>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</si>
  <si>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</si>
  <si>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</si>
  <si>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</si>
  <si>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</si>
  <si>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</si>
  <si>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</si>
  <si>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</si>
  <si>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</si>
  <si>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</si>
  <si>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</si>
  <si>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</si>
  <si>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</si>
  <si>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</si>
  <si>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</si>
  <si>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</si>
  <si>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</si>
  <si>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</si>
  <si>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</si>
  <si>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Health MOM%</t>
  </si>
  <si>
    <t>Food &amp; Beverages MOM%</t>
  </si>
  <si>
    <t>Fuel &amp; Light MOM%</t>
  </si>
  <si>
    <r>
      <t xml:space="preserve">Insight: </t>
    </r>
    <r>
      <rPr>
        <b/>
        <sz val="11"/>
        <color theme="1"/>
        <rFont val="Calibri"/>
        <family val="2"/>
        <scheme val="minor"/>
      </rPr>
      <t>Pan , Tobacco</t>
    </r>
    <r>
      <rPr>
        <sz val="11"/>
        <color theme="1"/>
        <rFont val="Calibri"/>
        <family val="2"/>
        <scheme val="minor"/>
      </rPr>
      <t xml:space="preserve"> has the highest contribution towards CPI on April 2023</t>
    </r>
  </si>
  <si>
    <r>
      <t>Insights: The COVID-19 lockdown in March 2020 marked a clear structural break in inflation trends.</t>
    </r>
    <r>
      <rPr>
        <b/>
        <sz val="11"/>
        <color theme="1"/>
        <rFont val="Calibri"/>
        <family val="2"/>
        <scheme val="minor"/>
      </rPr>
      <t xml:space="preserve"> Food &amp; Beverages </t>
    </r>
    <r>
      <rPr>
        <sz val="11"/>
        <color theme="1"/>
        <rFont val="Calibri"/>
        <family val="2"/>
        <scheme val="minor"/>
      </rPr>
      <t>experienced the sharpest short-term disruption due to supply chain constraints,</t>
    </r>
    <r>
      <rPr>
        <b/>
        <sz val="11"/>
        <color theme="1"/>
        <rFont val="Calibri"/>
        <family val="2"/>
        <scheme val="minor"/>
      </rPr>
      <t xml:space="preserve"> Fuel &amp; Light</t>
    </r>
    <r>
      <rPr>
        <sz val="11"/>
        <color theme="1"/>
        <rFont val="Calibri"/>
        <family val="2"/>
        <scheme val="minor"/>
      </rPr>
      <t xml:space="preserve"> showed the most significant post-lockdown recovery and volatility, while </t>
    </r>
    <r>
      <rPr>
        <b/>
        <sz val="11"/>
        <color theme="1"/>
        <rFont val="Calibri"/>
        <family val="2"/>
        <scheme val="minor"/>
      </rPr>
      <t xml:space="preserve">Healthcare </t>
    </r>
    <r>
      <rPr>
        <sz val="11"/>
        <color theme="1"/>
        <rFont val="Calibri"/>
        <family val="2"/>
        <scheme val="minor"/>
      </rPr>
      <t>maintained a relatively stable upward trajectory driven by increased demand for medical services and supplies. Overall, inflation dynamics became considerably more volatile in the post-COVID period compared to the pre-pandemic period.</t>
    </r>
  </si>
  <si>
    <t>INDIA CPI INFLATION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</si>
</sst>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indent="2"/>
    </xf>
    <xf numFmtId="17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421" pivot="0" table="0" count="10" xr9:uid="{470FBF65-5F27-45B6-AEFD-7090B545BABE}">
      <tableStyleElement type="wholeTable" dxfId="7"/>
      <tableStyleElement type="headerRow" dxfId="6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42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Category-wise Contribution to CPI Basket (%) – April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41300791502624673"/>
          <c:y val="0.21057911536707707"/>
          <c:w val="0.55355458497375332"/>
          <c:h val="0.706437447713016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'Ans1'!$D$2</c:f>
              <c:strCache>
                <c:ptCount val="1"/>
                <c:pt idx="0">
                  <c:v>CPI Index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'Ans1'!$C$3:$C$15</c:f>
              <c:strCache>
                <c:ptCount val="10"/>
                <c:pt idx="0">
                  <c:v>Food and beverages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Personal Care &amp; Effects</c:v>
                </c:pt>
                <c:pt idx="9">
                  <c:v>Miscellaneous</c:v>
                </c:pt>
              </c:strCache>
            </c:strRef>
          </c:cat>
          <c:val>
            <c:numRef>
              <c:f>'Ans1'!$D$3:$D$15</c:f>
              <c:numCache>
                <c:formatCode>General</c:formatCode>
                <c:ptCount val="13"/>
                <c:pt idx="0">
                  <c:v>177.9</c:v>
                </c:pt>
                <c:pt idx="1">
                  <c:v>200.6</c:v>
                </c:pt>
                <c:pt idx="2">
                  <c:v>185.7</c:v>
                </c:pt>
                <c:pt idx="3">
                  <c:v>175.2</c:v>
                </c:pt>
                <c:pt idx="4">
                  <c:v>181.7</c:v>
                </c:pt>
                <c:pt idx="5">
                  <c:v>185</c:v>
                </c:pt>
                <c:pt idx="6">
                  <c:v>164.5</c:v>
                </c:pt>
                <c:pt idx="7">
                  <c:v>176.4</c:v>
                </c:pt>
                <c:pt idx="8">
                  <c:v>184</c:v>
                </c:pt>
                <c:pt idx="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1-441F-A647-5EA74A132558}"/>
            </c:ext>
          </c:extLst>
        </c:ser>
        <c:ser>
          <c:idx val="1"/>
          <c:order val="1"/>
          <c:tx>
            <c:strRef>
              <c:f>'Ans1'!$E$2</c:f>
              <c:strCache>
                <c:ptCount val="1"/>
                <c:pt idx="0">
                  <c:v>Contribution%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'Ans1'!$C$3:$C$15</c:f>
              <c:strCache>
                <c:ptCount val="10"/>
                <c:pt idx="0">
                  <c:v>Food and beverages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Personal Care &amp; Effects</c:v>
                </c:pt>
                <c:pt idx="9">
                  <c:v>Miscellaneous</c:v>
                </c:pt>
              </c:strCache>
            </c:strRef>
          </c:cat>
          <c:val>
            <c:numRef>
              <c:f>'Ans1'!$E$3:$E$15</c:f>
              <c:numCache>
                <c:formatCode>General</c:formatCode>
                <c:ptCount val="13"/>
                <c:pt idx="0">
                  <c:v>9.8504983388704304</c:v>
                </c:pt>
                <c:pt idx="1">
                  <c:v>11.107419712070874</c:v>
                </c:pt>
                <c:pt idx="2">
                  <c:v>10.282392026578071</c:v>
                </c:pt>
                <c:pt idx="3">
                  <c:v>9.7009966777408607</c:v>
                </c:pt>
                <c:pt idx="4">
                  <c:v>10.060908084163895</c:v>
                </c:pt>
                <c:pt idx="5">
                  <c:v>10.24363233665559</c:v>
                </c:pt>
                <c:pt idx="6">
                  <c:v>9.1085271317829459</c:v>
                </c:pt>
                <c:pt idx="7">
                  <c:v>9.7674418604651141</c:v>
                </c:pt>
                <c:pt idx="8">
                  <c:v>10.188261351052047</c:v>
                </c:pt>
                <c:pt idx="9">
                  <c:v>9.6899224806201545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1-441F-A647-5EA74A132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63618720"/>
        <c:axId val="1963615360"/>
      </c:barChart>
      <c:catAx>
        <c:axId val="196361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5360"/>
        <c:crosses val="autoZero"/>
        <c:auto val="1"/>
        <c:lblAlgn val="ctr"/>
        <c:lblOffset val="100"/>
        <c:noMultiLvlLbl val="0"/>
      </c:catAx>
      <c:valAx>
        <c:axId val="19636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YoY Inflation% (2017-2023)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'Ans2'!$B$2</c:f>
              <c:strCache>
                <c:ptCount val="1"/>
                <c:pt idx="0">
                  <c:v>YoY Inflation%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'Ans2'!$A$3:$A$9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'Ans2'!$B$3:$B$9</c:f>
              <c:numCache>
                <c:formatCode>General</c:formatCode>
                <c:ptCount val="7"/>
                <c:pt idx="0">
                  <c:v>3.3279999999999998</c:v>
                </c:pt>
                <c:pt idx="1">
                  <c:v>3.9550000000000001</c:v>
                </c:pt>
                <c:pt idx="2">
                  <c:v>3.891</c:v>
                </c:pt>
                <c:pt idx="3">
                  <c:v>6.0830000000000002</c:v>
                </c:pt>
                <c:pt idx="4">
                  <c:v>5.5640000000000001</c:v>
                </c:pt>
                <c:pt idx="5">
                  <c:v>6.6210000000000004</c:v>
                </c:pt>
                <c:pt idx="6">
                  <c:v>3.177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E-46C8-A1F0-3A7F2E3B8A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8309183"/>
        <c:axId val="1758299103"/>
      </c:lineChart>
      <c:catAx>
        <c:axId val="17583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99103"/>
        <c:crosses val="autoZero"/>
        <c:auto val="1"/>
        <c:lblAlgn val="ctr"/>
        <c:lblOffset val="100"/>
        <c:noMultiLvlLbl val="0"/>
      </c:catAx>
      <c:valAx>
        <c:axId val="17582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09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'Ans3'!$B$4</c:f>
              <c:strCache>
                <c:ptCount val="1"/>
                <c:pt idx="0">
                  <c:v>MoM Inflation% for Food and Beverages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'Ans3'!$A$5:$A$16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'Ans3'!$B$5:$B$16</c:f>
              <c:numCache>
                <c:formatCode>General</c:formatCode>
                <c:ptCount val="12"/>
                <c:pt idx="0">
                  <c:v>0.92300000000000004</c:v>
                </c:pt>
                <c:pt idx="1">
                  <c:v>5.7000000000000002E-2</c:v>
                </c:pt>
                <c:pt idx="2">
                  <c:v>0.74299999999999999</c:v>
                </c:pt>
                <c:pt idx="3">
                  <c:v>0.85099999999999998</c:v>
                </c:pt>
                <c:pt idx="4">
                  <c:v>1.012</c:v>
                </c:pt>
                <c:pt idx="5">
                  <c:v>-0.72399999999999998</c:v>
                </c:pt>
                <c:pt idx="6">
                  <c:v>-1.3460000000000001</c:v>
                </c:pt>
                <c:pt idx="7">
                  <c:v>0.45500000000000002</c:v>
                </c:pt>
                <c:pt idx="8">
                  <c:v>0.17</c:v>
                </c:pt>
                <c:pt idx="9">
                  <c:v>0</c:v>
                </c:pt>
                <c:pt idx="10">
                  <c:v>0.50900000000000001</c:v>
                </c:pt>
                <c:pt idx="11">
                  <c:v>0.67500000000000004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D-41A5-85D2-88B259EF9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6023168"/>
        <c:axId val="1596024128"/>
      </c:lineChart>
      <c:dateAx>
        <c:axId val="1596023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24128"/>
        <c:crosses val="autoZero"/>
        <c:auto val="1"/>
        <c:lblOffset val="100"/>
        <c:baseTimeUnit val="months"/>
      </c:dateAx>
      <c:valAx>
        <c:axId val="15960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2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Absolute CPI Change (May 2022 – May 2023)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'Ans3.2'!$B$2</c:f>
              <c:strCache>
                <c:ptCount val="1"/>
                <c:pt idx="0">
                  <c:v>May 2022 CPI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'Ans3.2'!$B$3:$B$14</c:f>
              <c:numCache>
                <c:formatCode>General</c:formatCode>
                <c:ptCount val="12"/>
                <c:pt idx="0">
                  <c:v>184.9</c:v>
                </c:pt>
                <c:pt idx="1">
                  <c:v>154.1</c:v>
                </c:pt>
                <c:pt idx="2">
                  <c:v>164.9</c:v>
                </c:pt>
                <c:pt idx="3">
                  <c:v>182.5</c:v>
                </c:pt>
                <c:pt idx="4">
                  <c:v>164.7</c:v>
                </c:pt>
                <c:pt idx="5">
                  <c:v>162.4</c:v>
                </c:pt>
                <c:pt idx="6">
                  <c:v>167.1</c:v>
                </c:pt>
                <c:pt idx="7">
                  <c:v>119.7</c:v>
                </c:pt>
                <c:pt idx="8">
                  <c:v>171</c:v>
                </c:pt>
                <c:pt idx="9">
                  <c:v>217</c:v>
                </c:pt>
                <c:pt idx="10">
                  <c:v>174.9</c:v>
                </c:pt>
                <c:pt idx="11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D-44A6-A291-BF067AE9C6EB}"/>
            </c:ext>
          </c:extLst>
        </c:ser>
        <c:ser>
          <c:idx val="1"/>
          <c:order val="1"/>
          <c:tx>
            <c:strRef>
              <c:f>'Ans3.2'!$C$2</c:f>
              <c:strCache>
                <c:ptCount val="1"/>
                <c:pt idx="0">
                  <c:v>May 2023 CPI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'Ans3.2'!$C$3:$C$14</c:f>
              <c:numCache>
                <c:formatCode>General</c:formatCode>
                <c:ptCount val="12"/>
                <c:pt idx="0">
                  <c:v>218</c:v>
                </c:pt>
                <c:pt idx="1">
                  <c:v>173.7</c:v>
                </c:pt>
                <c:pt idx="2">
                  <c:v>179.5</c:v>
                </c:pt>
                <c:pt idx="3">
                  <c:v>194.2</c:v>
                </c:pt>
                <c:pt idx="4">
                  <c:v>175.6</c:v>
                </c:pt>
                <c:pt idx="5">
                  <c:v>173.2</c:v>
                </c:pt>
                <c:pt idx="6">
                  <c:v>173.4</c:v>
                </c:pt>
                <c:pt idx="7">
                  <c:v>122.7</c:v>
                </c:pt>
                <c:pt idx="8">
                  <c:v>172.2</c:v>
                </c:pt>
                <c:pt idx="9">
                  <c:v>214.3</c:v>
                </c:pt>
                <c:pt idx="10">
                  <c:v>161</c:v>
                </c:pt>
                <c:pt idx="1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D-44A6-A291-BF067AE9C6EB}"/>
            </c:ext>
          </c:extLst>
        </c:ser>
        <c:ser>
          <c:idx val="2"/>
          <c:order val="2"/>
          <c:tx>
            <c:strRef>
              <c:f>'Ans3.2'!$D$2</c:f>
              <c:strCache>
                <c:ptCount val="1"/>
                <c:pt idx="0">
                  <c:v>Absolute Change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'Ans3.2'!$D$3:$D$14</c:f>
              <c:numCache>
                <c:formatCode>General</c:formatCode>
                <c:ptCount val="12"/>
                <c:pt idx="0">
                  <c:v>33.099999999999994</c:v>
                </c:pt>
                <c:pt idx="1">
                  <c:v>19.599999999999994</c:v>
                </c:pt>
                <c:pt idx="2">
                  <c:v>14.599999999999994</c:v>
                </c:pt>
                <c:pt idx="3">
                  <c:v>11.699999999999989</c:v>
                </c:pt>
                <c:pt idx="4">
                  <c:v>10.900000000000006</c:v>
                </c:pt>
                <c:pt idx="5">
                  <c:v>10.799999999999983</c:v>
                </c:pt>
                <c:pt idx="6">
                  <c:v>6.3000000000000114</c:v>
                </c:pt>
                <c:pt idx="7">
                  <c:v>3</c:v>
                </c:pt>
                <c:pt idx="8">
                  <c:v>1.1999999999999886</c:v>
                </c:pt>
                <c:pt idx="9">
                  <c:v>-2.6999999999999886</c:v>
                </c:pt>
                <c:pt idx="10">
                  <c:v>-13.900000000000006</c:v>
                </c:pt>
                <c:pt idx="11">
                  <c:v>-32.400000000000006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D-44A6-A291-BF067AE9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4972528"/>
        <c:axId val="1374957648"/>
      </c:barChart>
      <c:catAx>
        <c:axId val="137497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57648"/>
        <c:crosses val="autoZero"/>
        <c:auto val="1"/>
        <c:lblAlgn val="ctr"/>
        <c:lblOffset val="100"/>
        <c:noMultiLvlLbl val="0"/>
      </c:catAx>
      <c:valAx>
        <c:axId val="13749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COVID-19 on MoM Inflation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9483669409926193E-2"/>
          <c:y val="0.11234450888227657"/>
          <c:w val="0.91728396519435773"/>
          <c:h val="0.76384597185108727"/>
        </c:manualLayout>
      </c:layout>
      <c:lineChart>
        <c:grouping val="standard"/>
        <c:varyColors val="0"/>
        <c:ser>
          <c:idx val="0"/>
          <c:order val="0"/>
          <c:tx>
            <c:strRef>
              <c:f>'Ans4'!$C$3</c:f>
              <c:strCache>
                <c:ptCount val="1"/>
                <c:pt idx="0">
                  <c:v>Health MOM%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'Ans4'!$C$4:$C$25</c:f>
              <c:numCache>
                <c:formatCode>General</c:formatCode>
                <c:ptCount val="22"/>
                <c:pt idx="0">
                  <c:v>0.42</c:v>
                </c:pt>
                <c:pt idx="1">
                  <c:v>0.48</c:v>
                </c:pt>
                <c:pt idx="2">
                  <c:v>0.35000000000000003</c:v>
                </c:pt>
                <c:pt idx="3">
                  <c:v>0.34</c:v>
                </c:pt>
                <c:pt idx="4">
                  <c:v>0.41000000000000003</c:v>
                </c:pt>
                <c:pt idx="5">
                  <c:v>0.34</c:v>
                </c:pt>
                <c:pt idx="6">
                  <c:v>0.27</c:v>
                </c:pt>
                <c:pt idx="7">
                  <c:v>0.34</c:v>
                </c:pt>
                <c:pt idx="8">
                  <c:v>0.34</c:v>
                </c:pt>
                <c:pt idx="9">
                  <c:v>0.54</c:v>
                </c:pt>
                <c:pt idx="10">
                  <c:v>0.34</c:v>
                </c:pt>
                <c:pt idx="11">
                  <c:v>0.4</c:v>
                </c:pt>
                <c:pt idx="12">
                  <c:v>-1.06</c:v>
                </c:pt>
                <c:pt idx="13">
                  <c:v>2.46</c:v>
                </c:pt>
                <c:pt idx="14">
                  <c:v>0</c:v>
                </c:pt>
                <c:pt idx="15">
                  <c:v>0.39</c:v>
                </c:pt>
                <c:pt idx="16">
                  <c:v>0.39</c:v>
                </c:pt>
                <c:pt idx="17">
                  <c:v>0.45</c:v>
                </c:pt>
                <c:pt idx="18">
                  <c:v>0.57999999999999996</c:v>
                </c:pt>
                <c:pt idx="19">
                  <c:v>0.7</c:v>
                </c:pt>
                <c:pt idx="20">
                  <c:v>0.64</c:v>
                </c:pt>
                <c:pt idx="21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8-4792-9534-813222873009}"/>
            </c:ext>
          </c:extLst>
        </c:ser>
        <c:ser>
          <c:idx val="1"/>
          <c:order val="1"/>
          <c:tx>
            <c:strRef>
              <c:f>'Ans4'!$D$3</c:f>
              <c:strCache>
                <c:ptCount val="1"/>
                <c:pt idx="0">
                  <c:v>Food &amp; Beverages MOM%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'Ans4'!$D$4:$D$25</c:f>
              <c:numCache>
                <c:formatCode>General</c:formatCode>
                <c:ptCount val="22"/>
                <c:pt idx="0">
                  <c:v>0.44</c:v>
                </c:pt>
                <c:pt idx="1">
                  <c:v>2.0299999999999998</c:v>
                </c:pt>
                <c:pt idx="2">
                  <c:v>1.28</c:v>
                </c:pt>
                <c:pt idx="3">
                  <c:v>1.41</c:v>
                </c:pt>
                <c:pt idx="4">
                  <c:v>0.83</c:v>
                </c:pt>
                <c:pt idx="5">
                  <c:v>0.76</c:v>
                </c:pt>
                <c:pt idx="6">
                  <c:v>1.77</c:v>
                </c:pt>
                <c:pt idx="7">
                  <c:v>1.54</c:v>
                </c:pt>
                <c:pt idx="8">
                  <c:v>2.0499999999999998</c:v>
                </c:pt>
                <c:pt idx="9">
                  <c:v>-0.97</c:v>
                </c:pt>
                <c:pt idx="10">
                  <c:v>-1.96</c:v>
                </c:pt>
                <c:pt idx="11">
                  <c:v>-1.07</c:v>
                </c:pt>
                <c:pt idx="12">
                  <c:v>1.68</c:v>
                </c:pt>
                <c:pt idx="13">
                  <c:v>1.72</c:v>
                </c:pt>
                <c:pt idx="14">
                  <c:v>0</c:v>
                </c:pt>
                <c:pt idx="15">
                  <c:v>1.95</c:v>
                </c:pt>
                <c:pt idx="16">
                  <c:v>0.64</c:v>
                </c:pt>
                <c:pt idx="17">
                  <c:v>2.1599999999999997</c:v>
                </c:pt>
                <c:pt idx="18">
                  <c:v>2.0499999999999998</c:v>
                </c:pt>
                <c:pt idx="19">
                  <c:v>0.43</c:v>
                </c:pt>
                <c:pt idx="20">
                  <c:v>-2.67</c:v>
                </c:pt>
                <c:pt idx="21">
                  <c:v>-2.5499999999999998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8-4792-9534-813222873009}"/>
            </c:ext>
          </c:extLst>
        </c:ser>
        <c:ser>
          <c:idx val="2"/>
          <c:order val="2"/>
          <c:tx>
            <c:strRef>
              <c:f>'Ans4'!$E$3</c:f>
              <c:strCache>
                <c:ptCount val="1"/>
                <c:pt idx="0">
                  <c:v>Fuel &amp; Light MOM%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'Ans4'!$E$4:$E$25</c:f>
              <c:numCache>
                <c:formatCode>General</c:formatCode>
                <c:ptCount val="22"/>
                <c:pt idx="0">
                  <c:v>0.94000000000000006</c:v>
                </c:pt>
                <c:pt idx="1">
                  <c:v>0.43</c:v>
                </c:pt>
                <c:pt idx="2">
                  <c:v>0.65</c:v>
                </c:pt>
                <c:pt idx="3">
                  <c:v>-1.35</c:v>
                </c:pt>
                <c:pt idx="4">
                  <c:v>-0.57999999999999996</c:v>
                </c:pt>
                <c:pt idx="5">
                  <c:v>0.51</c:v>
                </c:pt>
                <c:pt idx="6">
                  <c:v>1.01</c:v>
                </c:pt>
                <c:pt idx="7">
                  <c:v>1.21</c:v>
                </c:pt>
                <c:pt idx="8">
                  <c:v>0.99</c:v>
                </c:pt>
                <c:pt idx="9">
                  <c:v>0.63</c:v>
                </c:pt>
                <c:pt idx="10">
                  <c:v>1.8</c:v>
                </c:pt>
                <c:pt idx="11">
                  <c:v>1.1599999999999999</c:v>
                </c:pt>
                <c:pt idx="12">
                  <c:v>-3.23</c:v>
                </c:pt>
                <c:pt idx="13">
                  <c:v>-1.53</c:v>
                </c:pt>
                <c:pt idx="14">
                  <c:v>0</c:v>
                </c:pt>
                <c:pt idx="15">
                  <c:v>0.78</c:v>
                </c:pt>
                <c:pt idx="16">
                  <c:v>-6.9999999999999993E-2</c:v>
                </c:pt>
                <c:pt idx="17">
                  <c:v>0.14000000000000001</c:v>
                </c:pt>
                <c:pt idx="18">
                  <c:v>0.35000000000000003</c:v>
                </c:pt>
                <c:pt idx="19">
                  <c:v>0.7</c:v>
                </c:pt>
                <c:pt idx="20">
                  <c:v>2.2899999999999996</c:v>
                </c:pt>
                <c:pt idx="21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8-4792-9534-813222873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355215"/>
        <c:axId val="1098355695"/>
      </c:lineChart>
      <c:catAx>
        <c:axId val="10983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355695"/>
        <c:crosses val="autoZero"/>
        <c:auto val="1"/>
        <c:lblAlgn val="ctr"/>
        <c:lblOffset val="100"/>
        <c:noMultiLvlLbl val="0"/>
      </c:catAx>
      <c:valAx>
        <c:axId val="10983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35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Contribution to CPI Basket (%) – April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40265585008395688"/>
          <c:y val="0.18850039119559395"/>
          <c:w val="0.55355458497375332"/>
          <c:h val="0.706437447713016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'Ans1'!$D$2</c:f>
              <c:strCache>
                <c:ptCount val="1"/>
                <c:pt idx="0">
                  <c:v>CPI Index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'Ans1'!$C$3:$C$15</c:f>
              <c:strCache>
                <c:ptCount val="10"/>
                <c:pt idx="0">
                  <c:v>Food and beverages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Personal Care &amp; Effects</c:v>
                </c:pt>
                <c:pt idx="9">
                  <c:v>Miscellaneous</c:v>
                </c:pt>
              </c:strCache>
            </c:strRef>
          </c:cat>
          <c:val>
            <c:numRef>
              <c:f>'Ans1'!$D$3:$D$15</c:f>
              <c:numCache>
                <c:formatCode>General</c:formatCode>
                <c:ptCount val="13"/>
                <c:pt idx="0">
                  <c:v>177.9</c:v>
                </c:pt>
                <c:pt idx="1">
                  <c:v>200.6</c:v>
                </c:pt>
                <c:pt idx="2">
                  <c:v>185.7</c:v>
                </c:pt>
                <c:pt idx="3">
                  <c:v>175.2</c:v>
                </c:pt>
                <c:pt idx="4">
                  <c:v>181.7</c:v>
                </c:pt>
                <c:pt idx="5">
                  <c:v>185</c:v>
                </c:pt>
                <c:pt idx="6">
                  <c:v>164.5</c:v>
                </c:pt>
                <c:pt idx="7">
                  <c:v>176.4</c:v>
                </c:pt>
                <c:pt idx="8">
                  <c:v>184</c:v>
                </c:pt>
                <c:pt idx="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6A8-91A8-2E2B7D6114EC}"/>
            </c:ext>
          </c:extLst>
        </c:ser>
        <c:ser>
          <c:idx val="1"/>
          <c:order val="1"/>
          <c:tx>
            <c:strRef>
              <c:f>'Ans1'!$E$2</c:f>
              <c:strCache>
                <c:ptCount val="1"/>
                <c:pt idx="0">
                  <c:v>Contribution%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'Ans1'!$C$3:$C$15</c:f>
              <c:strCache>
                <c:ptCount val="10"/>
                <c:pt idx="0">
                  <c:v>Food and beverages</c:v>
                </c:pt>
                <c:pt idx="1">
                  <c:v>Pan,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Health</c:v>
                </c:pt>
                <c:pt idx="6">
                  <c:v>Transport &amp; Communication</c:v>
                </c:pt>
                <c:pt idx="7">
                  <c:v>Education</c:v>
                </c:pt>
                <c:pt idx="8">
                  <c:v>Personal Care &amp; Effects</c:v>
                </c:pt>
                <c:pt idx="9">
                  <c:v>Miscellaneous</c:v>
                </c:pt>
              </c:strCache>
            </c:strRef>
          </c:cat>
          <c:val>
            <c:numRef>
              <c:f>'Ans1'!$E$3:$E$15</c:f>
              <c:numCache>
                <c:formatCode>General</c:formatCode>
                <c:ptCount val="13"/>
                <c:pt idx="0">
                  <c:v>9.8504983388704304</c:v>
                </c:pt>
                <c:pt idx="1">
                  <c:v>11.107419712070874</c:v>
                </c:pt>
                <c:pt idx="2">
                  <c:v>10.282392026578071</c:v>
                </c:pt>
                <c:pt idx="3">
                  <c:v>9.7009966777408607</c:v>
                </c:pt>
                <c:pt idx="4">
                  <c:v>10.060908084163895</c:v>
                </c:pt>
                <c:pt idx="5">
                  <c:v>10.24363233665559</c:v>
                </c:pt>
                <c:pt idx="6">
                  <c:v>9.1085271317829459</c:v>
                </c:pt>
                <c:pt idx="7">
                  <c:v>9.7674418604651141</c:v>
                </c:pt>
                <c:pt idx="8">
                  <c:v>10.188261351052047</c:v>
                </c:pt>
                <c:pt idx="9">
                  <c:v>9.6899224806201545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D-46A8-91A8-2E2B7D61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63618720"/>
        <c:axId val="1963615360"/>
      </c:barChart>
      <c:catAx>
        <c:axId val="196361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5360"/>
        <c:crosses val="autoZero"/>
        <c:auto val="1"/>
        <c:lblAlgn val="ctr"/>
        <c:lblOffset val="100"/>
        <c:noMultiLvlLbl val="0"/>
      </c:catAx>
      <c:valAx>
        <c:axId val="19636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YoY Inflation% (2017-2023) </a:t>
            </a:r>
          </a:p>
        </c:rich>
      </c:tx>
      <c:layout>
        <c:manualLayout>
          <c:xMode val="edge"/>
          <c:yMode val="edge"/>
          <c:x val="0.28787624270289902"/>
          <c:y val="3.5648539088248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'Ans2'!$B$2</c:f>
              <c:strCache>
                <c:ptCount val="1"/>
                <c:pt idx="0">
                  <c:v>YoY Inflation%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'Ans2'!$A$3:$A$9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'Ans2'!$B$3:$B$9</c:f>
              <c:numCache>
                <c:formatCode>General</c:formatCode>
                <c:ptCount val="7"/>
                <c:pt idx="0">
                  <c:v>3.3279999999999998</c:v>
                </c:pt>
                <c:pt idx="1">
                  <c:v>3.9550000000000001</c:v>
                </c:pt>
                <c:pt idx="2">
                  <c:v>3.891</c:v>
                </c:pt>
                <c:pt idx="3">
                  <c:v>6.0830000000000002</c:v>
                </c:pt>
                <c:pt idx="4">
                  <c:v>5.5640000000000001</c:v>
                </c:pt>
                <c:pt idx="5">
                  <c:v>6.6210000000000004</c:v>
                </c:pt>
                <c:pt idx="6">
                  <c:v>3.177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B-4066-8F7C-388F1DD1EE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8309183"/>
        <c:axId val="1758299103"/>
      </c:lineChart>
      <c:catAx>
        <c:axId val="175830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99103"/>
        <c:crosses val="autoZero"/>
        <c:auto val="1"/>
        <c:lblAlgn val="ctr"/>
        <c:lblOffset val="100"/>
        <c:noMultiLvlLbl val="0"/>
      </c:catAx>
      <c:valAx>
        <c:axId val="17582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09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'Ans3'!$B$4</c:f>
              <c:strCache>
                <c:ptCount val="1"/>
                <c:pt idx="0">
                  <c:v>MoM Inflation% for Food and Beverages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'Ans3'!$A$5:$A$16</c:f>
              <c:numCache>
                <c:formatCode>mmm\-yy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'Ans3'!$B$5:$B$16</c:f>
              <c:numCache>
                <c:formatCode>General</c:formatCode>
                <c:ptCount val="12"/>
                <c:pt idx="0">
                  <c:v>0.92300000000000004</c:v>
                </c:pt>
                <c:pt idx="1">
                  <c:v>5.7000000000000002E-2</c:v>
                </c:pt>
                <c:pt idx="2">
                  <c:v>0.74299999999999999</c:v>
                </c:pt>
                <c:pt idx="3">
                  <c:v>0.85099999999999998</c:v>
                </c:pt>
                <c:pt idx="4">
                  <c:v>1.012</c:v>
                </c:pt>
                <c:pt idx="5">
                  <c:v>-0.72399999999999998</c:v>
                </c:pt>
                <c:pt idx="6">
                  <c:v>-1.3460000000000001</c:v>
                </c:pt>
                <c:pt idx="7">
                  <c:v>0.45500000000000002</c:v>
                </c:pt>
                <c:pt idx="8">
                  <c:v>0.17</c:v>
                </c:pt>
                <c:pt idx="9">
                  <c:v>0</c:v>
                </c:pt>
                <c:pt idx="10">
                  <c:v>0.50900000000000001</c:v>
                </c:pt>
                <c:pt idx="11">
                  <c:v>0.67500000000000004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8-463A-86ED-7CF38CC32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6023168"/>
        <c:axId val="1596024128"/>
      </c:lineChart>
      <c:dateAx>
        <c:axId val="1596023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24128"/>
        <c:crosses val="autoZero"/>
        <c:auto val="1"/>
        <c:lblOffset val="100"/>
        <c:baseTimeUnit val="months"/>
      </c:dateAx>
      <c:valAx>
        <c:axId val="15960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2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Absolute CPI Change (May 2022 – May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'Ans3.2'!$B$2</c:f>
              <c:strCache>
                <c:ptCount val="1"/>
                <c:pt idx="0">
                  <c:v>May 2022 CPI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'Ans3.2'!$B$3:$B$14</c:f>
              <c:numCache>
                <c:formatCode>General</c:formatCode>
                <c:ptCount val="12"/>
                <c:pt idx="0">
                  <c:v>184.9</c:v>
                </c:pt>
                <c:pt idx="1">
                  <c:v>154.1</c:v>
                </c:pt>
                <c:pt idx="2">
                  <c:v>164.9</c:v>
                </c:pt>
                <c:pt idx="3">
                  <c:v>182.5</c:v>
                </c:pt>
                <c:pt idx="4">
                  <c:v>164.7</c:v>
                </c:pt>
                <c:pt idx="5">
                  <c:v>162.4</c:v>
                </c:pt>
                <c:pt idx="6">
                  <c:v>167.1</c:v>
                </c:pt>
                <c:pt idx="7">
                  <c:v>119.7</c:v>
                </c:pt>
                <c:pt idx="8">
                  <c:v>171</c:v>
                </c:pt>
                <c:pt idx="9">
                  <c:v>217</c:v>
                </c:pt>
                <c:pt idx="10">
                  <c:v>174.9</c:v>
                </c:pt>
                <c:pt idx="11">
                  <c:v>202.4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6-4F47-9352-1EBC74D9AD46}"/>
            </c:ext>
          </c:extLst>
        </c:ser>
        <c:ser>
          <c:idx val="1"/>
          <c:order val="1"/>
          <c:tx>
            <c:strRef>
              <c:f>'Ans3.2'!$C$2</c:f>
              <c:strCache>
                <c:ptCount val="1"/>
                <c:pt idx="0">
                  <c:v>May 2023 CPI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'Ans3.2'!$C$3:$C$14</c:f>
              <c:numCache>
                <c:formatCode>General</c:formatCode>
                <c:ptCount val="12"/>
                <c:pt idx="0">
                  <c:v>218</c:v>
                </c:pt>
                <c:pt idx="1">
                  <c:v>173.7</c:v>
                </c:pt>
                <c:pt idx="2">
                  <c:v>179.5</c:v>
                </c:pt>
                <c:pt idx="3">
                  <c:v>194.2</c:v>
                </c:pt>
                <c:pt idx="4">
                  <c:v>175.6</c:v>
                </c:pt>
                <c:pt idx="5">
                  <c:v>173.2</c:v>
                </c:pt>
                <c:pt idx="6">
                  <c:v>173.4</c:v>
                </c:pt>
                <c:pt idx="7">
                  <c:v>122.7</c:v>
                </c:pt>
                <c:pt idx="8">
                  <c:v>172.2</c:v>
                </c:pt>
                <c:pt idx="9">
                  <c:v>214.3</c:v>
                </c:pt>
                <c:pt idx="10">
                  <c:v>161</c:v>
                </c:pt>
                <c:pt idx="1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6-4F47-9352-1EBC74D9AD46}"/>
            </c:ext>
          </c:extLst>
        </c:ser>
        <c:ser>
          <c:idx val="2"/>
          <c:order val="2"/>
          <c:tx>
            <c:strRef>
              <c:f>'Ans3.2'!$D$2</c:f>
              <c:strCache>
                <c:ptCount val="1"/>
                <c:pt idx="0">
                  <c:v>Absolute Change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'Ans3.2'!$A$3:$A$14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Prepared meals, snacks, sweets etc.</c:v>
                </c:pt>
                <c:pt idx="4">
                  <c:v>Pulses and products</c:v>
                </c:pt>
                <c:pt idx="5">
                  <c:v>Egg</c:v>
                </c:pt>
                <c:pt idx="6">
                  <c:v>Non-alcoholic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'Ans3.2'!$D$3:$D$14</c:f>
              <c:numCache>
                <c:formatCode>General</c:formatCode>
                <c:ptCount val="12"/>
                <c:pt idx="0">
                  <c:v>33.099999999999994</c:v>
                </c:pt>
                <c:pt idx="1">
                  <c:v>19.599999999999994</c:v>
                </c:pt>
                <c:pt idx="2">
                  <c:v>14.599999999999994</c:v>
                </c:pt>
                <c:pt idx="3">
                  <c:v>11.699999999999989</c:v>
                </c:pt>
                <c:pt idx="4">
                  <c:v>10.900000000000006</c:v>
                </c:pt>
                <c:pt idx="5">
                  <c:v>10.799999999999983</c:v>
                </c:pt>
                <c:pt idx="6">
                  <c:v>6.3000000000000114</c:v>
                </c:pt>
                <c:pt idx="7">
                  <c:v>3</c:v>
                </c:pt>
                <c:pt idx="8">
                  <c:v>1.1999999999999886</c:v>
                </c:pt>
                <c:pt idx="9">
                  <c:v>-2.6999999999999886</c:v>
                </c:pt>
                <c:pt idx="10">
                  <c:v>-13.900000000000006</c:v>
                </c:pt>
                <c:pt idx="11">
                  <c:v>-32.400000000000006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6-4F47-9352-1EBC74D9A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4972528"/>
        <c:axId val="1374957648"/>
      </c:barChart>
      <c:catAx>
        <c:axId val="137497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57648"/>
        <c:crosses val="autoZero"/>
        <c:auto val="1"/>
        <c:lblAlgn val="ctr"/>
        <c:lblOffset val="100"/>
        <c:noMultiLvlLbl val="0"/>
      </c:catAx>
      <c:valAx>
        <c:axId val="13749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COVID-19 on MoM Inflation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9483669409926193E-2"/>
          <c:y val="0.11234450888227657"/>
          <c:w val="0.91728396519435773"/>
          <c:h val="0.76384597185108727"/>
        </c:manualLayout>
      </c:layout>
      <c:lineChart>
        <c:grouping val="standard"/>
        <c:varyColors val="0"/>
        <c:ser>
          <c:idx val="0"/>
          <c:order val="0"/>
          <c:tx>
            <c:strRef>
              <c:f>'Ans4'!$C$3</c:f>
              <c:strCache>
                <c:ptCount val="1"/>
                <c:pt idx="0">
                  <c:v>Health MOM%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'Ans4'!$C$4:$C$25</c:f>
              <c:numCache>
                <c:formatCode>General</c:formatCode>
                <c:ptCount val="22"/>
                <c:pt idx="0">
                  <c:v>0.42</c:v>
                </c:pt>
                <c:pt idx="1">
                  <c:v>0.48</c:v>
                </c:pt>
                <c:pt idx="2">
                  <c:v>0.35000000000000003</c:v>
                </c:pt>
                <c:pt idx="3">
                  <c:v>0.34</c:v>
                </c:pt>
                <c:pt idx="4">
                  <c:v>0.41000000000000003</c:v>
                </c:pt>
                <c:pt idx="5">
                  <c:v>0.34</c:v>
                </c:pt>
                <c:pt idx="6">
                  <c:v>0.27</c:v>
                </c:pt>
                <c:pt idx="7">
                  <c:v>0.34</c:v>
                </c:pt>
                <c:pt idx="8">
                  <c:v>0.34</c:v>
                </c:pt>
                <c:pt idx="9">
                  <c:v>0.54</c:v>
                </c:pt>
                <c:pt idx="10">
                  <c:v>0.34</c:v>
                </c:pt>
                <c:pt idx="11">
                  <c:v>0.4</c:v>
                </c:pt>
                <c:pt idx="12">
                  <c:v>-1.06</c:v>
                </c:pt>
                <c:pt idx="13">
                  <c:v>2.46</c:v>
                </c:pt>
                <c:pt idx="14">
                  <c:v>0</c:v>
                </c:pt>
                <c:pt idx="15">
                  <c:v>0.39</c:v>
                </c:pt>
                <c:pt idx="16">
                  <c:v>0.39</c:v>
                </c:pt>
                <c:pt idx="17">
                  <c:v>0.45</c:v>
                </c:pt>
                <c:pt idx="18">
                  <c:v>0.57999999999999996</c:v>
                </c:pt>
                <c:pt idx="19">
                  <c:v>0.7</c:v>
                </c:pt>
                <c:pt idx="20">
                  <c:v>0.64</c:v>
                </c:pt>
                <c:pt idx="21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A-44F2-88A4-6B573E8D42E8}"/>
            </c:ext>
          </c:extLst>
        </c:ser>
        <c:ser>
          <c:idx val="1"/>
          <c:order val="1"/>
          <c:tx>
            <c:strRef>
              <c:f>'Ans4'!$D$3</c:f>
              <c:strCache>
                <c:ptCount val="1"/>
                <c:pt idx="0">
                  <c:v>Food &amp; Beverages MOM%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'Ans4'!$D$4:$D$25</c:f>
              <c:numCache>
                <c:formatCode>General</c:formatCode>
                <c:ptCount val="22"/>
                <c:pt idx="0">
                  <c:v>0.44</c:v>
                </c:pt>
                <c:pt idx="1">
                  <c:v>2.0299999999999998</c:v>
                </c:pt>
                <c:pt idx="2">
                  <c:v>1.28</c:v>
                </c:pt>
                <c:pt idx="3">
                  <c:v>1.41</c:v>
                </c:pt>
                <c:pt idx="4">
                  <c:v>0.83</c:v>
                </c:pt>
                <c:pt idx="5">
                  <c:v>0.76</c:v>
                </c:pt>
                <c:pt idx="6">
                  <c:v>1.77</c:v>
                </c:pt>
                <c:pt idx="7">
                  <c:v>1.54</c:v>
                </c:pt>
                <c:pt idx="8">
                  <c:v>2.0499999999999998</c:v>
                </c:pt>
                <c:pt idx="9">
                  <c:v>-0.97</c:v>
                </c:pt>
                <c:pt idx="10">
                  <c:v>-1.96</c:v>
                </c:pt>
                <c:pt idx="11">
                  <c:v>-1.07</c:v>
                </c:pt>
                <c:pt idx="12">
                  <c:v>1.68</c:v>
                </c:pt>
                <c:pt idx="13">
                  <c:v>1.72</c:v>
                </c:pt>
                <c:pt idx="14">
                  <c:v>0</c:v>
                </c:pt>
                <c:pt idx="15">
                  <c:v>1.95</c:v>
                </c:pt>
                <c:pt idx="16">
                  <c:v>0.64</c:v>
                </c:pt>
                <c:pt idx="17">
                  <c:v>2.1599999999999997</c:v>
                </c:pt>
                <c:pt idx="18">
                  <c:v>2.0499999999999998</c:v>
                </c:pt>
                <c:pt idx="19">
                  <c:v>0.43</c:v>
                </c:pt>
                <c:pt idx="20">
                  <c:v>-2.67</c:v>
                </c:pt>
                <c:pt idx="21">
                  <c:v>-2.5499999999999998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A-44F2-88A4-6B573E8D42E8}"/>
            </c:ext>
          </c:extLst>
        </c:ser>
        <c:ser>
          <c:idx val="2"/>
          <c:order val="2"/>
          <c:tx>
            <c:strRef>
              <c:f>'Ans4'!$E$3</c:f>
              <c:strCache>
                <c:ptCount val="1"/>
                <c:pt idx="0">
                  <c:v>Fuel &amp; Light MOM%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'Ans4'!$B$4:$B$25</c:f>
              <c:strCache>
                <c:ptCount val="22"/>
                <c:pt idx="0">
                  <c:v>Mar-2019</c:v>
                </c:pt>
                <c:pt idx="1">
                  <c:v>May-2019</c:v>
                </c:pt>
                <c:pt idx="2">
                  <c:v>Jun-2019</c:v>
                </c:pt>
                <c:pt idx="3">
                  <c:v>Jul-2019</c:v>
                </c:pt>
                <c:pt idx="4">
                  <c:v>Aug-2019</c:v>
                </c:pt>
                <c:pt idx="5">
                  <c:v>Sep-2019</c:v>
                </c:pt>
                <c:pt idx="6">
                  <c:v>Oct-2019</c:v>
                </c:pt>
                <c:pt idx="7">
                  <c:v>Nov-2019</c:v>
                </c:pt>
                <c:pt idx="8">
                  <c:v>Dec-2019</c:v>
                </c:pt>
                <c:pt idx="9">
                  <c:v>Jan-2020</c:v>
                </c:pt>
                <c:pt idx="10">
                  <c:v>Feb-2020</c:v>
                </c:pt>
                <c:pt idx="11">
                  <c:v>Mar-2020</c:v>
                </c:pt>
                <c:pt idx="12">
                  <c:v>Apr-2020</c:v>
                </c:pt>
                <c:pt idx="13">
                  <c:v>Jun-2020</c:v>
                </c:pt>
                <c:pt idx="14">
                  <c:v>Jul-2020</c:v>
                </c:pt>
                <c:pt idx="15">
                  <c:v>Aug-2020</c:v>
                </c:pt>
                <c:pt idx="16">
                  <c:v>Sep-2020</c:v>
                </c:pt>
                <c:pt idx="17">
                  <c:v>Oct-2020</c:v>
                </c:pt>
                <c:pt idx="18">
                  <c:v>Nov-2020</c:v>
                </c:pt>
                <c:pt idx="19">
                  <c:v>Dec-2020</c:v>
                </c:pt>
                <c:pt idx="20">
                  <c:v>Jan-2021</c:v>
                </c:pt>
                <c:pt idx="21">
                  <c:v>Feb-2021</c:v>
                </c:pt>
              </c:strCache>
            </c:strRef>
          </c:cat>
          <c:val>
            <c:numRef>
              <c:f>'Ans4'!$E$4:$E$25</c:f>
              <c:numCache>
                <c:formatCode>General</c:formatCode>
                <c:ptCount val="22"/>
                <c:pt idx="0">
                  <c:v>0.94000000000000006</c:v>
                </c:pt>
                <c:pt idx="1">
                  <c:v>0.43</c:v>
                </c:pt>
                <c:pt idx="2">
                  <c:v>0.65</c:v>
                </c:pt>
                <c:pt idx="3">
                  <c:v>-1.35</c:v>
                </c:pt>
                <c:pt idx="4">
                  <c:v>-0.57999999999999996</c:v>
                </c:pt>
                <c:pt idx="5">
                  <c:v>0.51</c:v>
                </c:pt>
                <c:pt idx="6">
                  <c:v>1.01</c:v>
                </c:pt>
                <c:pt idx="7">
                  <c:v>1.21</c:v>
                </c:pt>
                <c:pt idx="8">
                  <c:v>0.99</c:v>
                </c:pt>
                <c:pt idx="9">
                  <c:v>0.63</c:v>
                </c:pt>
                <c:pt idx="10">
                  <c:v>1.8</c:v>
                </c:pt>
                <c:pt idx="11">
                  <c:v>1.1599999999999999</c:v>
                </c:pt>
                <c:pt idx="12">
                  <c:v>-3.23</c:v>
                </c:pt>
                <c:pt idx="13">
                  <c:v>-1.53</c:v>
                </c:pt>
                <c:pt idx="14">
                  <c:v>0</c:v>
                </c:pt>
                <c:pt idx="15">
                  <c:v>0.78</c:v>
                </c:pt>
                <c:pt idx="16">
                  <c:v>-6.9999999999999993E-2</c:v>
                </c:pt>
                <c:pt idx="17">
                  <c:v>0.14000000000000001</c:v>
                </c:pt>
                <c:pt idx="18">
                  <c:v>0.35000000000000003</c:v>
                </c:pt>
                <c:pt idx="19">
                  <c:v>0.7</c:v>
                </c:pt>
                <c:pt idx="20">
                  <c:v>2.2899999999999996</c:v>
                </c:pt>
                <c:pt idx="21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A-44F2-88A4-6B573E8D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355215"/>
        <c:axId val="1098355695"/>
      </c:lineChart>
      <c:catAx>
        <c:axId val="109835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355695"/>
        <c:crosses val="autoZero"/>
        <c:auto val="1"/>
        <c:lblAlgn val="ctr"/>
        <c:lblOffset val="100"/>
        <c:noMultiLvlLbl val="0"/>
      </c:catAx>
      <c:valAx>
        <c:axId val="10983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35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156210</xdr:rowOff>
    </xdr:from>
    <xdr:to>
      <xdr:col>13</xdr:col>
      <xdr:colOff>30480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DEDE4-6D25-BB69-2803-F1C81F93C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171450</xdr:rowOff>
    </xdr:from>
    <xdr:to>
      <xdr:col>10</xdr:col>
      <xdr:colOff>586740</xdr:colOff>
      <xdr:row>14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18A8E-B4EF-CE1A-0745-2A366D34D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152400</xdr:rowOff>
    </xdr:from>
    <xdr:to>
      <xdr:col>13</xdr:col>
      <xdr:colOff>7620</xdr:colOff>
      <xdr:row>17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EFBA5-D011-4AA3-43BC-D837A5AAC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68580</xdr:rowOff>
    </xdr:from>
    <xdr:to>
      <xdr:col>12</xdr:col>
      <xdr:colOff>601980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F114C-65E2-5415-E09E-6B59FE62F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148590</xdr:rowOff>
    </xdr:from>
    <xdr:to>
      <xdr:col>14</xdr:col>
      <xdr:colOff>586740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361AC-4C85-F278-7DE5-8BB2DEAD8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213032</xdr:colOff>
      <xdr:row>4</xdr:row>
      <xdr:rowOff>73742</xdr:rowOff>
    </xdr:from>
    <xdr:to>
      <xdr:col>10</xdr:col>
      <xdr:colOff>245806</xdr:colOff>
      <xdr:row>22</xdr:row>
      <xdr:rowOff>65549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EB08CB8-B7BE-DAF4-CB13-50075425B305}"/>
            </a:ext>
          </a:extLst>
        </xdr:cNvPr>
        <xdr:cNvCxnSpPr/>
      </xdr:nvCxnSpPr>
      <xdr:spPr>
        <a:xfrm>
          <a:off x="9291484" y="794774"/>
          <a:ext cx="32774" cy="32364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433917</xdr:colOff>
      <xdr:row>8</xdr:row>
      <xdr:rowOff>169332</xdr:rowOff>
    </xdr:from>
    <xdr:to>
      <xdr:col>25</xdr:col>
      <xdr:colOff>571500</xdr:colOff>
      <xdr:row>24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C8D1E-3F41-41E2-9B7E-D5C46C918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433917</xdr:colOff>
      <xdr:row>9</xdr:row>
      <xdr:rowOff>42333</xdr:rowOff>
    </xdr:from>
    <xdr:to>
      <xdr:col>17</xdr:col>
      <xdr:colOff>275167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5E14A-5D89-476E-B794-85327F8E1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</xdr:row>
      <xdr:rowOff>53510</xdr:rowOff>
    </xdr:from>
    <xdr:to>
      <xdr:col>8</xdr:col>
      <xdr:colOff>338666</xdr:colOff>
      <xdr:row>21</xdr:row>
      <xdr:rowOff>148166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890ABB-2C03-4797-92E4-358DF2074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476250</xdr:colOff>
      <xdr:row>22</xdr:row>
      <xdr:rowOff>137584</xdr:rowOff>
    </xdr:from>
    <xdr:to>
      <xdr:col>17</xdr:col>
      <xdr:colOff>243416</xdr:colOff>
      <xdr:row>38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21E7D-9B66-4C82-AEE3-6CF37B0EF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31749</xdr:colOff>
      <xdr:row>22</xdr:row>
      <xdr:rowOff>148167</xdr:rowOff>
    </xdr:from>
    <xdr:to>
      <xdr:col>9</xdr:col>
      <xdr:colOff>349250</xdr:colOff>
      <xdr:row>38</xdr:row>
      <xdr:rowOff>158749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CF3BB0-95F4-40B7-AA18-0C5A28CB6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127000</xdr:colOff>
      <xdr:row>2</xdr:row>
      <xdr:rowOff>127000</xdr:rowOff>
    </xdr:from>
    <xdr:to>
      <xdr:col>8</xdr:col>
      <xdr:colOff>190501</xdr:colOff>
      <xdr:row>8</xdr:row>
      <xdr:rowOff>105831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D9994DC-A021-4597-8BE5-69E830BC40D5}"/>
            </a:ext>
          </a:extLst>
        </xdr:cNvPr>
        <xdr:cNvSpPr/>
      </xdr:nvSpPr>
      <xdr:spPr>
        <a:xfrm>
          <a:off x="127000" y="603250"/>
          <a:ext cx="4974168" cy="1058331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  <a:effectLst/>
            </a:rPr>
            <a:t>LATEST</a:t>
          </a:r>
          <a:r>
            <a:rPr lang="en-IN" sz="1100" b="1" baseline="0">
              <a:solidFill>
                <a:sysClr val="windowText" lastClr="000000"/>
              </a:solidFill>
              <a:effectLst/>
            </a:rPr>
            <a:t> GENERAL CPI</a:t>
          </a:r>
          <a:endParaRPr lang="en-IN" sz="1100" b="1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8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179.1</a:t>
          </a:r>
        </a:p>
        <a:p>
          <a:pPr algn="l"/>
          <a:r>
            <a:rPr lang="en-IN" sz="11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May 2023</a:t>
          </a:r>
        </a:p>
        <a:p>
          <a:pPr algn="l"/>
          <a:r>
            <a:rPr lang="en-IN" b="1">
              <a:solidFill>
                <a:sysClr val="windowText" lastClr="000000"/>
              </a:solidFill>
              <a:effectLst/>
            </a:rPr>
            <a:t>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391583</xdr:colOff>
      <xdr:row>2</xdr:row>
      <xdr:rowOff>137583</xdr:rowOff>
    </xdr:from>
    <xdr:to>
      <xdr:col>16</xdr:col>
      <xdr:colOff>560917</xdr:colOff>
      <xdr:row>8</xdr:row>
      <xdr:rowOff>52917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6394CA1-E7F1-9825-54E6-D8B87CF33777}"/>
            </a:ext>
          </a:extLst>
        </xdr:cNvPr>
        <xdr:cNvSpPr/>
      </xdr:nvSpPr>
      <xdr:spPr>
        <a:xfrm>
          <a:off x="5302250" y="613833"/>
          <a:ext cx="5080000" cy="994834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LATEST YoY INFLATION</a:t>
          </a:r>
          <a:endParaRPr lang="en-IN" sz="11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3.177%</a:t>
          </a:r>
          <a:r>
            <a:rPr lang="en-IN" sz="18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l"/>
          <a:r>
            <a:rPr lang="en-IN" sz="11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May 2023</a:t>
          </a:r>
          <a:endParaRPr lang="en-IN" sz="1100" b="1">
            <a:solidFill>
              <a:sysClr val="windowText" lastClr="000000"/>
            </a:solidFill>
            <a:effectLst/>
          </a:endParaRPr>
        </a:p>
        <a:p>
          <a:pPr algn="l"/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211666</xdr:colOff>
      <xdr:row>2</xdr:row>
      <xdr:rowOff>116416</xdr:rowOff>
    </xdr:from>
    <xdr:to>
      <xdr:col>25</xdr:col>
      <xdr:colOff>592668</xdr:colOff>
      <xdr:row>8</xdr:row>
      <xdr:rowOff>31749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D3AE503-A202-729A-FAFA-1886FF47E8BB}"/>
            </a:ext>
          </a:extLst>
        </xdr:cNvPr>
        <xdr:cNvSpPr/>
      </xdr:nvSpPr>
      <xdr:spPr>
        <a:xfrm>
          <a:off x="10646833" y="592666"/>
          <a:ext cx="5291668" cy="994833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LATEST</a:t>
          </a:r>
          <a:r>
            <a:rPr lang="en-IN" sz="1100" b="1" baseline="0">
              <a:solidFill>
                <a:sysClr val="windowText" lastClr="000000"/>
              </a:solidFill>
            </a:rPr>
            <a:t> FOOD MoM INFLATION</a:t>
          </a:r>
          <a:endParaRPr lang="en-IN" sz="1100" b="1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8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0.675%</a:t>
          </a:r>
        </a:p>
        <a:p>
          <a:pPr algn="l"/>
          <a:r>
            <a:rPr lang="en-IN" sz="11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May 2023 </a:t>
          </a:r>
        </a:p>
      </xdr:txBody>
    </xdr:sp>
    <xdr:clientData/>
  </xdr:twoCellAnchor>
  <xdr:twoCellAnchor>
    <xdr:from>
      <xdr:col>17</xdr:col>
      <xdr:colOff>391583</xdr:colOff>
      <xdr:row>25</xdr:row>
      <xdr:rowOff>31750</xdr:rowOff>
    </xdr:from>
    <xdr:to>
      <xdr:col>26</xdr:col>
      <xdr:colOff>31750</xdr:colOff>
      <xdr:row>38</xdr:row>
      <xdr:rowOff>137582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A25F13F-DA10-34DB-F18C-78972C661321}"/>
            </a:ext>
          </a:extLst>
        </xdr:cNvPr>
        <xdr:cNvSpPr/>
      </xdr:nvSpPr>
      <xdr:spPr>
        <a:xfrm>
          <a:off x="10826750" y="4646083"/>
          <a:ext cx="5164667" cy="244474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INSIGHTS:</a:t>
          </a:r>
        </a:p>
        <a:p>
          <a:pPr algn="l"/>
          <a:endParaRPr lang="en-IN" sz="1200" b="1">
            <a:solidFill>
              <a:sysClr val="windowText" lastClr="000000"/>
            </a:solidFill>
          </a:endParaRP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Overall</a:t>
          </a:r>
          <a:r>
            <a:rPr lang="en-IN" sz="1200" b="1" baseline="0">
              <a:solidFill>
                <a:sysClr val="windowText" lastClr="000000"/>
              </a:solidFill>
            </a:rPr>
            <a:t> YoY inflation peaked in 2022(6.621%) and has moderate since then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Food Inflation(MoM)  was  highly volatile with a sharp spike in OCT 2022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Pan and tobacco has the highest contribution towards CPI on April 2023</a:t>
          </a:r>
        </a:p>
        <a:p>
          <a:pPr algn="l"/>
          <a:r>
            <a:rPr lang="en-IN" sz="1200" b="1" baseline="0">
              <a:solidFill>
                <a:sysClr val="windowText" lastClr="000000"/>
              </a:solidFill>
            </a:rPr>
            <a:t>COVID 19 lockdown in March 2020 led to sharp disruptions, especially in Fuel&amp; Light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n" refreshedDate="46177.725896759257" createdVersion="8" refreshedVersion="8" minRefreshableVersion="3" recordCount="369" xr:uid="{45A6DE95-8336-4F85-ACD9-5CCFB7E4EA37}">
  <cacheSource type="worksheet">
    <worksheetSource name="Table1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MixedTypes="1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s v="NA"/>
    <n v="105.5"/>
    <n v="104.8"/>
    <n v="104"/>
    <n v="103.3"/>
    <n v="103.4"/>
    <n v="103.8"/>
    <n v="104.7"/>
    <n v="104"/>
    <n v="105.1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s v="NA"/>
    <n v="106.2"/>
    <n v="105.2"/>
    <n v="104.4"/>
    <n v="103.9"/>
    <n v="104"/>
    <n v="104.1"/>
    <n v="104.6"/>
    <n v="104.4"/>
    <n v="105.8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s v="NA"/>
    <n v="106.1"/>
    <n v="105.6"/>
    <n v="104.7"/>
    <n v="104.6"/>
    <n v="104"/>
    <n v="104.3"/>
    <n v="104.3"/>
    <n v="104.6"/>
    <n v="106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s v="NA"/>
    <n v="106.5"/>
    <n v="106.1"/>
    <n v="105.1"/>
    <n v="104.4"/>
    <n v="104.5"/>
    <n v="104.8"/>
    <n v="102.7"/>
    <n v="104.6"/>
    <n v="106.4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s v="NA"/>
    <n v="107.5"/>
    <n v="106.8"/>
    <n v="105.7"/>
    <n v="104.1"/>
    <n v="105"/>
    <n v="105.5"/>
    <n v="102.1"/>
    <n v="104.8"/>
    <n v="107.2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s v="NA"/>
    <n v="108.5"/>
    <n v="107.5"/>
    <n v="106.3"/>
    <n v="105"/>
    <n v="105.6"/>
    <n v="106.5"/>
    <n v="102.5"/>
    <n v="105.5"/>
    <n v="108.9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s v="NA"/>
    <n v="109.5"/>
    <n v="108.3"/>
    <n v="106.9"/>
    <n v="106.8"/>
    <n v="106.4"/>
    <n v="107.8"/>
    <n v="102.5"/>
    <n v="106.5"/>
    <n v="110.7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s v="NA"/>
    <n v="109.9"/>
    <n v="108.7"/>
    <n v="107.5"/>
    <n v="107.8"/>
    <n v="106.8"/>
    <n v="108.7"/>
    <n v="105"/>
    <n v="107.5"/>
    <n v="112.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s v="NA"/>
    <n v="111.1"/>
    <n v="109.6"/>
    <n v="108.3"/>
    <n v="109.3"/>
    <n v="107.7"/>
    <n v="109.8"/>
    <n v="106.7"/>
    <n v="108.7"/>
    <n v="114.2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s v="NA"/>
    <n v="111.6"/>
    <n v="110.4"/>
    <n v="108.9"/>
    <n v="109.3"/>
    <n v="108.3"/>
    <n v="110.2"/>
    <n v="107.5"/>
    <n v="109.1"/>
    <n v="115.5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s v="NA"/>
    <n v="112.6"/>
    <n v="111.3"/>
    <n v="109.7"/>
    <n v="109.6"/>
    <n v="108.7"/>
    <n v="111"/>
    <n v="108.2"/>
    <n v="109.8"/>
    <n v="117.4"/>
  </r>
  <r>
    <x v="1"/>
    <x v="0"/>
    <x v="1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x v="2"/>
    <x v="0"/>
    <x v="1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x v="0"/>
    <x v="0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s v="NA"/>
    <n v="112.8"/>
    <n v="112.1"/>
    <n v="110.1"/>
    <n v="109.9"/>
    <n v="109.2"/>
    <n v="111.6"/>
    <n v="108.1"/>
    <n v="110.1"/>
    <n v="115.5"/>
  </r>
  <r>
    <x v="1"/>
    <x v="0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x v="2"/>
    <x v="0"/>
    <x v="1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s v="NA"/>
    <n v="113"/>
    <n v="112.6"/>
    <n v="110.6"/>
    <n v="110.5"/>
    <n v="109.6"/>
    <n v="111.8"/>
    <n v="108.3"/>
    <n v="110.6"/>
    <n v="114.2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s v="NA"/>
    <n v="113.2"/>
    <n v="112.9"/>
    <n v="110.9"/>
    <n v="110.8"/>
    <n v="109.9"/>
    <n v="112"/>
    <n v="108.7"/>
    <n v="110.9"/>
    <n v="114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s v="NA"/>
    <n v="113.4"/>
    <n v="113.4"/>
    <n v="111.4"/>
    <n v="111.2"/>
    <n v="110.2"/>
    <n v="112.4"/>
    <n v="108.9"/>
    <n v="111.3"/>
    <n v="114.6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s v="NA"/>
    <n v="113.4"/>
    <n v="113.7"/>
    <n v="111.8"/>
    <n v="111.2"/>
    <n v="110.5"/>
    <n v="113"/>
    <n v="108.9"/>
    <n v="111.5"/>
    <n v="115.4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s v="NA"/>
    <n v="113.4"/>
    <n v="114.1"/>
    <n v="112.1"/>
    <n v="111.4"/>
    <n v="110.9"/>
    <n v="113.1"/>
    <n v="108.9"/>
    <n v="111.8"/>
    <n v="116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s v="NA"/>
    <n v="114.4"/>
    <n v="114.9"/>
    <n v="112.8"/>
    <n v="112.2"/>
    <n v="111.4"/>
    <n v="114.3"/>
    <n v="108"/>
    <n v="112.3"/>
    <n v="117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s v="NA"/>
    <n v="115.3"/>
    <n v="115.4"/>
    <n v="113.4"/>
    <n v="113.2"/>
    <n v="111.8"/>
    <n v="115.5"/>
    <n v="108.8"/>
    <n v="113.1"/>
    <n v="119.5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s v="NA"/>
    <n v="115.4"/>
    <n v="115.9"/>
    <n v="114"/>
    <n v="113.2"/>
    <n v="112.2"/>
    <n v="116.2"/>
    <n v="109.4"/>
    <n v="113.5"/>
    <n v="120.7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s v="NA"/>
    <n v="115.8"/>
    <n v="116.7"/>
    <n v="114.5"/>
    <n v="112.8"/>
    <n v="112.6"/>
    <n v="116.6"/>
    <n v="109.1"/>
    <n v="113.7"/>
    <n v="120.9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s v="NA"/>
    <n v="116.4"/>
    <n v="117.5"/>
    <n v="115.3"/>
    <n v="112.6"/>
    <n v="113"/>
    <n v="116.9"/>
    <n v="109.3"/>
    <n v="114"/>
    <n v="121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x v="0"/>
    <x v="1"/>
    <x v="11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s v="NA"/>
    <n v="117.3"/>
    <n v="118.1"/>
    <n v="115.9"/>
    <n v="112"/>
    <n v="113.3"/>
    <n v="117.2"/>
    <n v="108.8"/>
    <n v="114.1"/>
    <n v="121.1"/>
  </r>
  <r>
    <x v="1"/>
    <x v="1"/>
    <x v="11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x v="2"/>
    <x v="1"/>
    <x v="11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x v="0"/>
    <x v="1"/>
    <x v="12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s v="NA"/>
    <n v="117.4"/>
    <n v="118.2"/>
    <n v="116.2"/>
    <n v="111.5"/>
    <n v="113.3"/>
    <n v="117.7"/>
    <n v="109.4"/>
    <n v="114.2"/>
    <n v="120.3"/>
  </r>
  <r>
    <x v="1"/>
    <x v="1"/>
    <x v="12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x v="2"/>
    <x v="1"/>
    <x v="12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s v="NA"/>
    <n v="118.4"/>
    <n v="118.9"/>
    <n v="116.6"/>
    <n v="111"/>
    <n v="114"/>
    <n v="118.2"/>
    <n v="110.2"/>
    <n v="114.5"/>
    <n v="120.3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s v="NA"/>
    <n v="120"/>
    <n v="119.6"/>
    <n v="117.7"/>
    <n v="110.9"/>
    <n v="114.8"/>
    <n v="118.7"/>
    <n v="110.8"/>
    <n v="115"/>
    <n v="120.6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s v="NA"/>
    <n v="120.6"/>
    <n v="120.2"/>
    <n v="118.2"/>
    <n v="111.6"/>
    <n v="115.5"/>
    <n v="119.4"/>
    <n v="110.8"/>
    <n v="115.5"/>
    <n v="121.1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s v="NA"/>
    <n v="121.2"/>
    <n v="120.9"/>
    <n v="118.6"/>
    <n v="111.9"/>
    <n v="116.2"/>
    <n v="119.9"/>
    <n v="111.6"/>
    <n v="116"/>
    <n v="121.5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s v="NA"/>
    <n v="121.9"/>
    <n v="121.5"/>
    <n v="119.4"/>
    <n v="113.3"/>
    <n v="116.7"/>
    <n v="120.5"/>
    <n v="112.3"/>
    <n v="116.9"/>
    <n v="122.4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s v="NA"/>
    <n v="122.6"/>
    <n v="122.8"/>
    <n v="120.4"/>
    <n v="114.2"/>
    <n v="117.9"/>
    <n v="122"/>
    <n v="113"/>
    <n v="117.9"/>
    <n v="124.1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s v="NA"/>
    <n v="123"/>
    <n v="123"/>
    <n v="120.8"/>
    <n v="114.1"/>
    <n v="118"/>
    <n v="122.9"/>
    <n v="112.7"/>
    <n v="118.1"/>
    <n v="124.7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s v="NA"/>
    <n v="123.8"/>
    <n v="123.7"/>
    <n v="121.1"/>
    <n v="113.6"/>
    <n v="118.5"/>
    <n v="123.6"/>
    <n v="112.5"/>
    <n v="118.2"/>
    <n v="126.1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s v="NA"/>
    <n v="123.7"/>
    <n v="124.5"/>
    <n v="121.4"/>
    <n v="113.8"/>
    <n v="119.6"/>
    <n v="124.5"/>
    <n v="113.7"/>
    <n v="118.8"/>
    <n v="127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s v="NA"/>
    <n v="124.4"/>
    <n v="125.1"/>
    <n v="122"/>
    <n v="113.8"/>
    <n v="120.1"/>
    <n v="125.1"/>
    <n v="114.2"/>
    <n v="119.2"/>
    <n v="127.7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x v="0"/>
    <x v="2"/>
    <x v="11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s v="NA"/>
    <n v="125.6"/>
    <n v="125.6"/>
    <n v="122.6"/>
    <n v="114"/>
    <n v="120.9"/>
    <n v="125.8"/>
    <n v="114.2"/>
    <n v="119.6"/>
    <n v="128.30000000000001"/>
  </r>
  <r>
    <x v="1"/>
    <x v="2"/>
    <x v="11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x v="2"/>
    <x v="2"/>
    <x v="1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x v="0"/>
    <x v="2"/>
    <x v="1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s v="NA"/>
    <n v="125.7"/>
    <n v="126"/>
    <n v="123.1"/>
    <n v="114"/>
    <n v="121.6"/>
    <n v="125.6"/>
    <n v="114.1"/>
    <n v="119.8"/>
    <n v="127.9"/>
  </r>
  <r>
    <x v="1"/>
    <x v="2"/>
    <x v="12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x v="2"/>
    <x v="2"/>
    <x v="12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s v="NA"/>
    <n v="126.2"/>
    <n v="126.6"/>
    <n v="123.7"/>
    <n v="113.6"/>
    <n v="121.4"/>
    <n v="126.2"/>
    <n v="114.9"/>
    <n v="120.1"/>
    <n v="128.1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s v="NA"/>
    <n v="127.5"/>
    <n v="127.1"/>
    <n v="124.3"/>
    <n v="113.9"/>
    <n v="122.3"/>
    <n v="127.1"/>
    <n v="116.8"/>
    <n v="120.9"/>
    <n v="127.9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s v="NA"/>
    <n v="127"/>
    <n v="127.7"/>
    <n v="124.8"/>
    <n v="113.6"/>
    <n v="122.5"/>
    <n v="127.5"/>
    <n v="117.4"/>
    <n v="121.1"/>
    <n v="128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s v="NA"/>
    <n v="127"/>
    <n v="128"/>
    <n v="125.2"/>
    <n v="114.4"/>
    <n v="123.2"/>
    <n v="127.9"/>
    <n v="118.4"/>
    <n v="121.7"/>
    <n v="129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s v="NA"/>
    <n v="127.4"/>
    <n v="128.5"/>
    <n v="125.8"/>
    <n v="115.1"/>
    <n v="123.6"/>
    <n v="129.1"/>
    <n v="119.7"/>
    <n v="122.5"/>
    <n v="130.30000000000001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s v="NA"/>
    <n v="128"/>
    <n v="129.30000000000001"/>
    <n v="126.2"/>
    <n v="116.3"/>
    <n v="124.1"/>
    <n v="130.19999999999999"/>
    <n v="119.9"/>
    <n v="123.3"/>
    <n v="131.9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s v="NA"/>
    <n v="128.19999999999999"/>
    <n v="130"/>
    <n v="126.7"/>
    <n v="116.4"/>
    <n v="125.2"/>
    <n v="130.80000000000001"/>
    <n v="120.9"/>
    <n v="123.8"/>
    <n v="133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s v="NA"/>
    <n v="129.1"/>
    <n v="130.6"/>
    <n v="127"/>
    <n v="116"/>
    <n v="125.5"/>
    <n v="131.9"/>
    <n v="122"/>
    <n v="124.2"/>
    <n v="133.5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s v="NA"/>
    <n v="129.69999999999999"/>
    <n v="131.1"/>
    <n v="127.8"/>
    <n v="117"/>
    <n v="125.7"/>
    <n v="132.19999999999999"/>
    <n v="122.8"/>
    <n v="124.9"/>
    <n v="133.4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s v="NA"/>
    <n v="129.80000000000001"/>
    <n v="131.80000000000001"/>
    <n v="128.69999999999999"/>
    <n v="117.8"/>
    <n v="126.5"/>
    <n v="133"/>
    <n v="123"/>
    <n v="125.7"/>
    <n v="133.80000000000001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x v="0"/>
    <x v="3"/>
    <x v="1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s v="NA"/>
    <n v="130.30000000000001"/>
    <n v="132.1"/>
    <n v="129.1"/>
    <n v="118.2"/>
    <n v="126.9"/>
    <n v="133.69999999999999"/>
    <n v="123.5"/>
    <n v="126.1"/>
    <n v="133.6"/>
  </r>
  <r>
    <x v="1"/>
    <x v="3"/>
    <x v="1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x v="2"/>
    <x v="3"/>
    <x v="1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x v="0"/>
    <x v="3"/>
    <x v="12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s v="NA"/>
    <n v="132"/>
    <n v="132.9"/>
    <n v="129.69999999999999"/>
    <n v="118.6"/>
    <n v="127.3"/>
    <n v="134.19999999999999"/>
    <n v="121.9"/>
    <n v="126.3"/>
    <n v="132.80000000000001"/>
  </r>
  <r>
    <x v="1"/>
    <x v="3"/>
    <x v="12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x v="2"/>
    <x v="3"/>
    <x v="12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s v="NA"/>
    <n v="132.1"/>
    <n v="133.19999999999999"/>
    <n v="129.9"/>
    <n v="119.1"/>
    <n v="127"/>
    <n v="134.6"/>
    <n v="122.3"/>
    <n v="126.6"/>
    <n v="132.4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s v="NA"/>
    <n v="133.19999999999999"/>
    <n v="133.6"/>
    <n v="130.1"/>
    <n v="119.5"/>
    <n v="127.7"/>
    <n v="134.9"/>
    <n v="123.2"/>
    <n v="127"/>
    <n v="132.6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s v="NA"/>
    <n v="134.19999999999999"/>
    <n v="134.1"/>
    <n v="130.6"/>
    <n v="119.8"/>
    <n v="128.30000000000001"/>
    <n v="135.19999999999999"/>
    <n v="123.3"/>
    <n v="127.4"/>
    <n v="132.8000000000000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s v="NA"/>
    <n v="135"/>
    <n v="134.30000000000001"/>
    <n v="131"/>
    <n v="119.2"/>
    <n v="128.30000000000001"/>
    <n v="135.69999999999999"/>
    <n v="123.7"/>
    <n v="127.5"/>
    <n v="132.9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s v="NA"/>
    <n v="135"/>
    <n v="134.9"/>
    <n v="131.4"/>
    <n v="119.4"/>
    <n v="129.4"/>
    <n v="136.30000000000001"/>
    <n v="123.7"/>
    <n v="127.9"/>
    <n v="133.30000000000001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s v="NA"/>
    <n v="134.80000000000001"/>
    <n v="135.19999999999999"/>
    <n v="131.30000000000001"/>
    <n v="119.4"/>
    <n v="129.80000000000001"/>
    <n v="136.9"/>
    <n v="124.1"/>
    <n v="128.1"/>
    <n v="133.9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s v="NA"/>
    <n v="135.30000000000001"/>
    <n v="136.1"/>
    <n v="132.1"/>
    <n v="119.1"/>
    <n v="130.6"/>
    <n v="138.6"/>
    <n v="124.4"/>
    <n v="128.6"/>
    <n v="136.19999999999999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s v="NA"/>
    <n v="136.4"/>
    <n v="137.30000000000001"/>
    <n v="133"/>
    <n v="120.3"/>
    <n v="131.5"/>
    <n v="140.19999999999999"/>
    <n v="125.4"/>
    <n v="129.69999999999999"/>
    <n v="137.80000000000001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s v="NA"/>
    <n v="137.4"/>
    <n v="137.9"/>
    <n v="133.4"/>
    <n v="121.2"/>
    <n v="132.30000000000001"/>
    <n v="139.6"/>
    <n v="126.7"/>
    <n v="130.30000000000001"/>
    <n v="137.6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s v="NA"/>
    <n v="138.1"/>
    <n v="138.4"/>
    <n v="134.19999999999999"/>
    <n v="121"/>
    <n v="133"/>
    <n v="140.1"/>
    <n v="127.4"/>
    <n v="130.69999999999999"/>
    <n v="138.30000000000001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x v="11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s v="NA"/>
    <n v="141.1"/>
    <n v="139.4"/>
    <n v="135.80000000000001"/>
    <n v="121.6"/>
    <n v="133.69999999999999"/>
    <n v="141.5"/>
    <n v="128.1"/>
    <n v="131.69999999999999"/>
    <n v="140"/>
  </r>
  <r>
    <x v="1"/>
    <x v="4"/>
    <x v="11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x v="2"/>
    <x v="4"/>
    <x v="11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x v="0"/>
    <x v="4"/>
    <x v="12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s v="NA"/>
    <n v="142.6"/>
    <n v="139.5"/>
    <n v="136.1"/>
    <n v="122"/>
    <n v="133.4"/>
    <n v="141.1"/>
    <n v="127.8"/>
    <n v="131.9"/>
    <n v="139.80000000000001"/>
  </r>
  <r>
    <x v="1"/>
    <x v="4"/>
    <x v="12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x v="12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s v="NA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s v="NA"/>
    <n v="142.4"/>
    <n v="139.9"/>
    <n v="136.19999999999999"/>
    <n v="123.3"/>
    <n v="134.30000000000001"/>
    <n v="141.5"/>
    <n v="128.80000000000001"/>
    <n v="132.5"/>
    <n v="138.5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s v="NA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s v="NA"/>
    <n v="143.80000000000001"/>
    <n v="140.9"/>
    <n v="137.6"/>
    <n v="125.3"/>
    <n v="136"/>
    <n v="143.69999999999999"/>
    <n v="130.4"/>
    <n v="134.19999999999999"/>
    <n v="139.1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s v="NA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s v="NA"/>
    <n v="145.1"/>
    <n v="142.19999999999999"/>
    <n v="138.4"/>
    <n v="127.4"/>
    <n v="137.80000000000001"/>
    <n v="145.1"/>
    <n v="131.4"/>
    <n v="135.6"/>
    <n v="140.5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s v="NA"/>
    <n v="146.80000000000001"/>
    <n v="143.1"/>
    <n v="139"/>
    <n v="127.5"/>
    <n v="138.4"/>
    <n v="145.80000000000001"/>
    <n v="131.4"/>
    <n v="136"/>
    <n v="141.80000000000001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s v="NA"/>
    <n v="147.69999999999999"/>
    <n v="143.80000000000001"/>
    <n v="139.4"/>
    <n v="128.30000000000001"/>
    <n v="138.6"/>
    <n v="146.9"/>
    <n v="131.30000000000001"/>
    <n v="136.6"/>
    <n v="142.5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s v="NA"/>
    <n v="149"/>
    <n v="144"/>
    <n v="140"/>
    <n v="129.9"/>
    <n v="140"/>
    <n v="147.6"/>
    <n v="132"/>
    <n v="137.4"/>
    <n v="142.1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s v="NA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1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s v="NA"/>
    <n v="150.30000000000001"/>
    <n v="148"/>
    <n v="145.4"/>
    <n v="130.30000000000001"/>
    <n v="143.1"/>
    <n v="150.19999999999999"/>
    <n v="133.1"/>
    <n v="140.1"/>
    <n v="142.4"/>
  </r>
  <r>
    <x v="1"/>
    <x v="5"/>
    <x v="11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x v="11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2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s v="NA"/>
    <n v="149"/>
    <n v="149.5"/>
    <n v="149.6"/>
    <n v="128.9"/>
    <n v="143.30000000000001"/>
    <n v="155.1"/>
    <n v="133.19999999999999"/>
    <n v="141.6"/>
    <n v="141.9"/>
  </r>
  <r>
    <x v="1"/>
    <x v="5"/>
    <x v="12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x v="12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s v="NA"/>
    <n v="146.19999999999999"/>
    <n v="150.1"/>
    <n v="149.6"/>
    <n v="128.6"/>
    <n v="142.9"/>
    <n v="155.19999999999999"/>
    <n v="133.5"/>
    <n v="141.69999999999999"/>
    <n v="141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s v="NA"/>
    <n v="145.30000000000001"/>
    <n v="150.1"/>
    <n v="149.9"/>
    <n v="129.19999999999999"/>
    <n v="143.4"/>
    <n v="155.5"/>
    <n v="134.9"/>
    <n v="142.19999999999999"/>
    <n v="141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s v="NA"/>
    <n v="146.4"/>
    <n v="150"/>
    <n v="150.4"/>
    <n v="129.9"/>
    <n v="143.80000000000001"/>
    <n v="155.5"/>
    <n v="134"/>
    <n v="142.4"/>
    <n v="141.19999999999999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s v="NA"/>
    <n v="146.9"/>
    <n v="149.5"/>
    <n v="151.30000000000001"/>
    <n v="130.19999999999999"/>
    <n v="145.9"/>
    <n v="156.69999999999999"/>
    <n v="133.9"/>
    <n v="142.9"/>
    <n v="142.4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s v="NA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s v="NA"/>
    <n v="146.80000000000001"/>
    <n v="150"/>
    <n v="152.19999999999999"/>
    <n v="131.19999999999999"/>
    <n v="147.5"/>
    <n v="159.1"/>
    <n v="136.1"/>
    <n v="144.19999999999999"/>
    <n v="144.9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s v="NA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s v="NA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s v="NA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x v="0"/>
    <x v="6"/>
    <x v="1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s v="NA"/>
    <n v="148.4"/>
    <n v="150.9"/>
    <n v="154.30000000000001"/>
    <n v="132.1"/>
    <n v="149.1"/>
    <n v="160.80000000000001"/>
    <n v="140.6"/>
    <n v="146.1"/>
    <n v="149.9"/>
  </r>
  <r>
    <x v="1"/>
    <x v="6"/>
    <x v="1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x v="1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s v="NA"/>
    <n v="149.9"/>
    <n v="151.19999999999999"/>
    <n v="154.80000000000001"/>
    <n v="135"/>
    <n v="149.5"/>
    <n v="161.1"/>
    <n v="140.6"/>
    <n v="147.1"/>
    <n v="152.30000000000001"/>
  </r>
  <r>
    <x v="1"/>
    <x v="6"/>
    <x v="1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x v="1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s v="NA"/>
    <n v="150.4"/>
    <n v="151.69999999999999"/>
    <n v="155.69999999999999"/>
    <n v="136.30000000000001"/>
    <n v="150.1"/>
    <n v="161.69999999999999"/>
    <n v="142.5"/>
    <n v="148.1"/>
    <n v="151.9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s v="NA"/>
    <n v="152.30000000000001"/>
    <n v="151.80000000000001"/>
    <n v="156.19999999999999"/>
    <n v="136"/>
    <n v="150.4"/>
    <n v="161.9"/>
    <n v="143.4"/>
    <n v="148.4"/>
    <n v="150.4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s v="NA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n v="147.19999999999999"/>
    <n v="167"/>
    <n v="146.9"/>
    <n v="155.6"/>
    <n v="137.1"/>
    <n v="147.30000000000001"/>
    <n v="162.69999999999999"/>
    <n v="150.19999999999999"/>
    <n v="119.8"/>
    <n v="158.69999999999999"/>
    <n v="139.19999999999999"/>
    <n v="159.6"/>
    <n v="150.1"/>
    <n v="171.2"/>
    <n v="151.19999999999999"/>
    <n v="141.9"/>
    <n v="149.80000000000001"/>
    <s v="NA"/>
    <n v="148.4"/>
    <n v="146.4"/>
    <n v="154.30000000000001"/>
    <n v="129.9"/>
    <n v="143.69999999999999"/>
    <n v="156.1"/>
    <n v="145.19999999999999"/>
    <n v="143.80000000000001"/>
    <n v="148.6"/>
  </r>
  <r>
    <x v="1"/>
    <x v="7"/>
    <x v="3"/>
    <n v="151.80000000000001"/>
    <n v="167"/>
    <n v="151.9"/>
    <n v="155.5"/>
    <n v="131.6"/>
    <n v="152.9"/>
    <n v="180"/>
    <n v="150.80000000000001"/>
    <n v="121.2"/>
    <n v="154"/>
    <n v="133.5"/>
    <n v="159.6"/>
    <n v="153.5"/>
    <n v="171.2"/>
    <n v="151.19999999999999"/>
    <n v="141.9"/>
    <n v="149.80000000000001"/>
    <n v="155.6"/>
    <n v="137.1"/>
    <n v="146.4"/>
    <n v="144.80000000000001"/>
    <n v="129.9"/>
    <n v="143.69999999999999"/>
    <n v="156.1"/>
    <n v="145.19999999999999"/>
    <n v="143.80000000000001"/>
    <n v="148.6"/>
  </r>
  <r>
    <x v="2"/>
    <x v="7"/>
    <x v="3"/>
    <n v="148.69999999999999"/>
    <n v="167"/>
    <n v="148.80000000000001"/>
    <n v="155.6"/>
    <n v="135.1"/>
    <n v="149.9"/>
    <n v="168.6"/>
    <n v="150.4"/>
    <n v="120.3"/>
    <n v="157.1"/>
    <n v="136.80000000000001"/>
    <n v="159.6"/>
    <n v="151.4"/>
    <n v="171.2"/>
    <n v="151.19999999999999"/>
    <n v="141.9"/>
    <n v="149.80000000000001"/>
    <n v="155.6"/>
    <n v="144.1"/>
    <n v="146.4"/>
    <n v="150.69999999999999"/>
    <n v="129.9"/>
    <n v="143.69999999999999"/>
    <n v="156.1"/>
    <n v="145.19999999999999"/>
    <n v="143.80000000000001"/>
    <n v="148.6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s v="NA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s v="NA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s v="NA"/>
    <n v="146.4"/>
    <n v="151.6"/>
    <n v="159.1"/>
    <n v="144.6"/>
    <n v="152.80000000000001"/>
    <n v="161.1"/>
    <n v="157.4"/>
    <n v="153.69999999999999"/>
    <n v="155.4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s v="NA"/>
    <n v="146.80000000000001"/>
    <n v="152"/>
    <n v="159.5"/>
    <n v="146.4"/>
    <n v="152.4"/>
    <n v="162.5"/>
    <n v="156.19999999999999"/>
    <n v="154.30000000000001"/>
    <n v="157.5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x v="0"/>
    <x v="7"/>
    <x v="1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s v="NA"/>
    <n v="147.5"/>
    <n v="152.80000000000001"/>
    <n v="160.4"/>
    <n v="146.1"/>
    <n v="153.6"/>
    <n v="161.6"/>
    <n v="156.19999999999999"/>
    <n v="154.5"/>
    <n v="159.80000000000001"/>
  </r>
  <r>
    <x v="1"/>
    <x v="7"/>
    <x v="1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x v="2"/>
    <x v="7"/>
    <x v="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x v="0"/>
    <x v="7"/>
    <x v="12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s v="NA"/>
    <n v="148.69999999999999"/>
    <n v="153.4"/>
    <n v="161.6"/>
    <n v="146.4"/>
    <n v="153.9"/>
    <n v="162.9"/>
    <n v="156.6"/>
    <n v="155.19999999999999"/>
    <n v="160.69999999999999"/>
  </r>
  <r>
    <x v="1"/>
    <x v="7"/>
    <x v="1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x v="2"/>
    <x v="7"/>
    <x v="12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s v="NA"/>
    <n v="150.9"/>
    <n v="153.9"/>
    <n v="162.5"/>
    <n v="147.5"/>
    <n v="155.1"/>
    <n v="163.5"/>
    <n v="156.19999999999999"/>
    <n v="155.9"/>
    <n v="158.5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s v="NA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s v="NA"/>
    <n v="161.69999999999999"/>
    <n v="158.80000000000001"/>
    <n v="169.1"/>
    <n v="153.19999999999999"/>
    <n v="160"/>
    <n v="167.6"/>
    <n v="159.30000000000001"/>
    <n v="161.1"/>
    <n v="161.1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s v="NA"/>
    <n v="162.1"/>
    <n v="159.19999999999999"/>
    <n v="169.7"/>
    <n v="154.19999999999999"/>
    <n v="160.4"/>
    <n v="166.8"/>
    <n v="159.4"/>
    <n v="161.5"/>
    <n v="162.1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s v="NA"/>
    <n v="162.5"/>
    <n v="160.30000000000001"/>
    <n v="170.4"/>
    <n v="157.1"/>
    <n v="160.69999999999999"/>
    <n v="167.2"/>
    <n v="160.4"/>
    <n v="162.80000000000001"/>
    <n v="163.19999999999999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s v="NA"/>
    <n v="163.1"/>
    <n v="160.9"/>
    <n v="171.1"/>
    <n v="157.69999999999999"/>
    <n v="161.1"/>
    <n v="167.5"/>
    <n v="160.30000000000001"/>
    <n v="163.30000000000001"/>
    <n v="163.6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s v="NA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s v="NA"/>
    <n v="165.5"/>
    <n v="162"/>
    <n v="172.5"/>
    <n v="159.5"/>
    <n v="163.19999999999999"/>
    <n v="169"/>
    <n v="161.1"/>
    <n v="164.7"/>
    <n v="166.3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x v="0"/>
    <x v="8"/>
    <x v="11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s v="NA"/>
    <n v="165.3"/>
    <n v="162.9"/>
    <n v="173.4"/>
    <n v="158.9"/>
    <n v="163.80000000000001"/>
    <n v="169.3"/>
    <n v="162.4"/>
    <n v="165.2"/>
    <n v="167.6"/>
  </r>
  <r>
    <x v="1"/>
    <x v="8"/>
    <x v="11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x v="11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2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s v="NA"/>
    <n v="165.6"/>
    <n v="163.9"/>
    <n v="174"/>
    <n v="160.1"/>
    <n v="164.5"/>
    <n v="169.7"/>
    <n v="162.80000000000001"/>
    <n v="166"/>
    <n v="167"/>
  </r>
  <r>
    <x v="1"/>
    <x v="8"/>
    <x v="12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x v="2"/>
    <x v="8"/>
    <x v="12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s v="NA"/>
    <n v="165.8"/>
    <n v="164.9"/>
    <n v="174.7"/>
    <n v="160.80000000000001"/>
    <n v="164.9"/>
    <n v="169.9"/>
    <n v="163.19999999999999"/>
    <n v="166.6"/>
    <n v="166.4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s v="NA"/>
    <n v="167.4"/>
    <n v="165.7"/>
    <n v="175.3"/>
    <n v="161.19999999999999"/>
    <n v="165.5"/>
    <n v="170.3"/>
    <n v="164.5"/>
    <n v="167.3"/>
    <n v="166.7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s v="NA"/>
    <n v="168.9"/>
    <n v="166.5"/>
    <n v="176"/>
    <n v="162"/>
    <n v="166.6"/>
    <n v="170.6"/>
    <n v="167.4"/>
    <n v="168.3"/>
    <n v="168.7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s v="NA"/>
    <n v="173.3"/>
    <n v="167.7"/>
    <n v="177"/>
    <n v="166.2"/>
    <n v="167.2"/>
    <n v="170.9"/>
    <n v="169"/>
    <n v="170.2"/>
    <n v="170.8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s v="NA"/>
    <n v="175.3"/>
    <n v="168.9"/>
    <n v="177.7"/>
    <n v="167.1"/>
    <n v="167.6"/>
    <n v="171.8"/>
    <n v="168.5"/>
    <n v="170.9"/>
    <n v="172.5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s v="NA"/>
    <n v="176.7"/>
    <n v="170.3"/>
    <n v="178.2"/>
    <n v="165.5"/>
    <n v="168"/>
    <n v="172.6"/>
    <n v="169.5"/>
    <n v="171"/>
    <n v="173.6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s v="NA"/>
    <n v="179.6"/>
    <n v="171.3"/>
    <n v="178.8"/>
    <n v="166.3"/>
    <n v="168.6"/>
    <n v="174.7"/>
    <n v="169.7"/>
    <n v="171.8"/>
    <n v="174.3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s v="NA"/>
    <n v="179.1"/>
    <n v="172.3"/>
    <n v="179.4"/>
    <n v="166.6"/>
    <n v="169.3"/>
    <n v="175.7"/>
    <n v="171.1"/>
    <n v="172.6"/>
    <n v="175.3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s v="NA"/>
    <n v="179.7"/>
    <n v="173.6"/>
    <n v="180.2"/>
    <n v="166.9"/>
    <n v="170"/>
    <n v="176.2"/>
    <n v="170.8"/>
    <n v="173.1"/>
    <n v="176.4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s v="NA"/>
    <n v="180.8"/>
    <n v="174.4"/>
    <n v="181.2"/>
    <n v="167.4"/>
    <n v="170.6"/>
    <n v="176.5"/>
    <n v="172"/>
    <n v="173.9"/>
    <n v="177.9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x v="0"/>
    <x v="9"/>
    <x v="11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s v="NA"/>
    <n v="181.9"/>
    <n v="175.5"/>
    <n v="182.3"/>
    <n v="167.5"/>
    <n v="170.8"/>
    <n v="176.9"/>
    <n v="173.4"/>
    <n v="174.6"/>
    <n v="177.8"/>
  </r>
  <r>
    <x v="1"/>
    <x v="9"/>
    <x v="11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x v="2"/>
    <x v="9"/>
    <x v="11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x v="0"/>
    <x v="9"/>
    <x v="12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s v="NA"/>
    <n v="182.8"/>
    <n v="176.4"/>
    <n v="183.5"/>
    <n v="167.8"/>
    <n v="171.2"/>
    <n v="177.3"/>
    <n v="175.7"/>
    <n v="175.5"/>
    <n v="177.1"/>
  </r>
  <r>
    <x v="1"/>
    <x v="9"/>
    <x v="12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x v="2"/>
    <x v="9"/>
    <x v="12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s v="NA"/>
    <n v="183.2"/>
    <n v="177.2"/>
    <n v="184.7"/>
    <n v="168.2"/>
    <n v="171.8"/>
    <n v="177.8"/>
    <n v="178.4"/>
    <n v="176.5"/>
    <n v="177.8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s v="NA"/>
    <n v="181.6"/>
    <n v="178.6"/>
    <n v="186.6"/>
    <n v="169"/>
    <n v="172.8"/>
    <n v="178.5"/>
    <n v="180.7"/>
    <n v="177.9"/>
    <n v="178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s v="NA"/>
    <n v="181.4"/>
    <n v="178.6"/>
    <n v="186.6"/>
    <n v="169"/>
    <n v="172.8"/>
    <n v="178.5"/>
    <n v="180.7"/>
    <n v="177.9"/>
    <n v="178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B78AD-9286-4078-BD73-E5F4EE9036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S2:ANU19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46C17-22B0-4884-A1DA-704A4D18373F}" name="Table1" displayName="Table1" ref="A1:AD370" totalsRowShown="0">
  <autoFilter ref="A1:AD370" xr:uid="{22C46C17-22B0-4884-A1DA-704A4D18373F}"/>
  <tableColumns count="30">
    <tableColumn id="1" xr3:uid="{2C935879-0CCC-4C23-AD8B-1B54F76F5DAD}" name="Sector"/>
    <tableColumn id="2" xr3:uid="{84C0370E-A4AA-4BF4-BAE5-88BC911B083B}" name="Year"/>
    <tableColumn id="3" xr3:uid="{AB6BCD66-CE70-487B-AD5D-4E4001AEDBE4}" name="Month"/>
    <tableColumn id="4" xr3:uid="{635D0C00-3E45-455F-B1B7-8C3AA4F44051}" name="Cereals and products"/>
    <tableColumn id="5" xr3:uid="{4DD7BD2E-B24A-4210-A7EF-59AE3FE5517E}" name="Meat and fish"/>
    <tableColumn id="6" xr3:uid="{4A3B68AB-8C8F-4F3A-80B2-9FF19B357CD8}" name="Egg"/>
    <tableColumn id="7" xr3:uid="{517839BD-17F7-46D3-A7A8-8EE70E51BA89}" name="Milk and products"/>
    <tableColumn id="8" xr3:uid="{E788AF5F-45BE-4D8B-AE9B-C76CC1CF8640}" name="Oils and fats"/>
    <tableColumn id="9" xr3:uid="{B36F6975-2974-4B77-BC18-14B34A06771C}" name="Fruits"/>
    <tableColumn id="10" xr3:uid="{91A4C8C9-A0C8-44C9-9A2A-6AEE3BB667BF}" name="Vegetables"/>
    <tableColumn id="11" xr3:uid="{E4892664-84F9-4381-843F-593A512979FE}" name="Pulses and products"/>
    <tableColumn id="12" xr3:uid="{4849A43B-507C-4F5B-8699-E077F58661DA}" name="Sugar and Confectionery"/>
    <tableColumn id="13" xr3:uid="{DB77A961-5236-4A20-9349-CB90DEFF6CF3}" name="Spices"/>
    <tableColumn id="14" xr3:uid="{BE654AFF-7982-4B1B-8FFB-E80F028D11EF}" name="Non-alcoholic beverages"/>
    <tableColumn id="15" xr3:uid="{BBFCE82C-004E-466B-972D-7A0C966B9E00}" name="Prepared meals, snacks, sweets etc."/>
    <tableColumn id="16" xr3:uid="{5BD88D94-F9DF-4CF1-9C1C-614B015B2E83}" name="Food and beverages"/>
    <tableColumn id="17" xr3:uid="{E73E2EF9-DC23-4175-9FF2-29331A851790}" name="Pan, tobacco and intoxicants"/>
    <tableColumn id="18" xr3:uid="{6A026455-FB76-44C1-BA96-425454EF6038}" name="Clothing"/>
    <tableColumn id="19" xr3:uid="{77A6E3EA-F93A-4550-AA08-AD4D181B2B17}" name="Footwear"/>
    <tableColumn id="20" xr3:uid="{69B871B6-3B62-4238-AD8F-B207D46B601A}" name="Clothing and footwear"/>
    <tableColumn id="21" xr3:uid="{C5FEE908-AB49-4ED9-BE29-55F6B328932D}" name="Housing"/>
    <tableColumn id="22" xr3:uid="{E4517322-C1BB-45AE-8AD5-91E741098491}" name="Fuel and light"/>
    <tableColumn id="23" xr3:uid="{7A3B6D25-B748-4D30-B733-7A5173C37304}" name="Household goods and services"/>
    <tableColumn id="24" xr3:uid="{ED9D6CB0-02DE-47D5-A55C-AB7F1D2BB652}" name="Health"/>
    <tableColumn id="25" xr3:uid="{9502E1D8-D14C-41F6-84D8-E9DE7B86C6E9}" name="Transport and communication"/>
    <tableColumn id="26" xr3:uid="{DEC3DC93-8567-48F9-96C0-D5DF485039DB}" name="Recreation and amusement"/>
    <tableColumn id="27" xr3:uid="{5D2AC7E1-3517-4CC2-90F0-9D0E83DDFFA4}" name="Education"/>
    <tableColumn id="28" xr3:uid="{BAC9629B-8D83-4835-AA53-5EAE8C4E3A81}" name="Personal care and effects"/>
    <tableColumn id="29" xr3:uid="{2FD33D84-6A62-49CA-8D9C-8434571C02A2}" name="Miscellaneous"/>
    <tableColumn id="30" xr3:uid="{9B45FFCE-A78B-4B96-80D3-A492CB0D0ED0}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2521B-C5FE-4CF2-BC12-32256699DEA3}" name="Table2" displayName="Table2" ref="C2:E12" totalsRowShown="0" headerRowDxfId="5">
  <autoFilter ref="C2:E12" xr:uid="{B4D2521B-C5FE-4CF2-BC12-32256699DEA3}"/>
  <tableColumns count="3">
    <tableColumn id="1" xr3:uid="{C414C59B-4225-4018-A4D1-B59B55EA40FF}" name="Category"/>
    <tableColumn id="2" xr3:uid="{469612CC-755A-49E1-AF1C-85E5A7EB1F17}" name="CPI Index"/>
    <tableColumn id="3" xr3:uid="{754AD2F4-95CD-48C7-9C18-F70C5FD8EE72}" name="Contribution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30D494-E906-40E3-956C-82C729A1FF4A}" name="Table7" displayName="Table7" ref="A2:B9" totalsRowShown="0">
  <autoFilter ref="A2:B9" xr:uid="{2C30D494-E906-40E3-956C-82C729A1FF4A}"/>
  <tableColumns count="2">
    <tableColumn id="1" xr3:uid="{F90F0E67-E0B5-4364-A83A-EDCED9A1311B}" name="Row Labels"/>
    <tableColumn id="3" xr3:uid="{B6D30981-33F8-4D5C-A6FB-8D0EE1DC2097}" name="YoY Inflation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652DE-17B9-4663-993D-4A16AE05969B}" name="Table4" displayName="Table4" ref="A4:B16" totalsRowShown="0">
  <autoFilter ref="A4:B16" xr:uid="{1FF652DE-17B9-4663-993D-4A16AE05969B}"/>
  <tableColumns count="2">
    <tableColumn id="1" xr3:uid="{2A64101B-92FE-4A31-9D8A-811C7D9E2FFD}" name="Month" dataDxfId="4"/>
    <tableColumn id="3" xr3:uid="{42FFA7DC-E8E7-4C30-A126-B87BC7D3C4D0}" name="MoM Inflation% for Food and Beverag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1978DB-49DB-439C-A620-AABA586710FD}" name="Table5" displayName="Table5" ref="A2:D14" totalsRowShown="0">
  <autoFilter ref="A2:D14" xr:uid="{E31978DB-49DB-439C-A620-AABA586710FD}"/>
  <sortState xmlns:xlrd2="http://schemas.microsoft.com/office/spreadsheetml/2017/richdata2" ref="A3:D14">
    <sortCondition descending="1" ref="D2:D14"/>
  </sortState>
  <tableColumns count="4">
    <tableColumn id="1" xr3:uid="{DD27271A-C350-4093-8938-33EEB04319A3}" name="Food Category"/>
    <tableColumn id="2" xr3:uid="{116997ED-E7C8-42F1-9A77-477026AEEC4E}" name="May 2022 CPI" dataDxfId="3"/>
    <tableColumn id="3" xr3:uid="{8EDA1592-395D-4652-AF9A-CD06A5AD9F2C}" name="May 2023 CPI" dataDxfId="2"/>
    <tableColumn id="4" xr3:uid="{E157BA7F-4CC7-4352-8538-0FCA7EF612DC}" name="Absolute Chan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F5CFED-3D36-436A-802B-8CF089F33779}" name="Table3" displayName="Table3" ref="B3:E25" totalsRowShown="0">
  <autoFilter ref="B3:E25" xr:uid="{ABF5CFED-3D36-436A-802B-8CF089F33779}"/>
  <tableColumns count="4">
    <tableColumn id="1" xr3:uid="{8BAD9423-5DF1-4096-BDE5-24A3C44E4E0D}" name="Month"/>
    <tableColumn id="2" xr3:uid="{33D3B340-49DF-4C52-9DE7-53994CD15FAD}" name="Health MOM%"/>
    <tableColumn id="3" xr3:uid="{86DAAAE4-F4A7-4C65-9E75-B3796CF06DBB}" name="Food &amp; Beverages MOM%"/>
    <tableColumn id="4" xr3:uid="{3624FA50-25D7-47A3-A00A-E0B1648F03E3}" name="Fuel &amp; Light MOM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384A-D64F-48AE-BE50-F7A9CCF75184}">
  <dimension ref="A1:ANU370"/>
  <sheetViews>
    <sheetView tabSelected="1" zoomScale="96" workbookViewId="0">
      <selection activeCell="AD370" sqref="AD370"/>
    </sheetView>
  </sheetViews>
  <sheetFormatPr defaultRowHeight="14.4" x14ac:dyDescent="0.3"/>
  <cols>
    <col min="1" max="1" width="11.33203125" bestFit="1" customWidth="1"/>
    <col min="2" max="2" width="6.77734375" customWidth="1"/>
    <col min="3" max="3" width="10" bestFit="1" customWidth="1"/>
    <col min="4" max="4" width="20.44140625" customWidth="1"/>
    <col min="5" max="5" width="14.44140625" customWidth="1"/>
    <col min="6" max="6" width="6" bestFit="1" customWidth="1"/>
    <col min="7" max="7" width="18" customWidth="1"/>
    <col min="8" max="8" width="13.21875" customWidth="1"/>
    <col min="9" max="9" width="7.6640625" customWidth="1"/>
    <col min="10" max="10" width="12.33203125" customWidth="1"/>
    <col min="11" max="11" width="19.6640625" customWidth="1"/>
    <col min="12" max="12" width="23.33203125" customWidth="1"/>
    <col min="13" max="13" width="8.109375" customWidth="1"/>
    <col min="14" max="14" width="23.33203125" customWidth="1"/>
    <col min="15" max="15" width="33.109375" customWidth="1"/>
    <col min="16" max="16" width="19.77734375" customWidth="1"/>
    <col min="17" max="17" width="26.5546875" customWidth="1"/>
    <col min="18" max="18" width="9.77734375" customWidth="1"/>
    <col min="19" max="19" width="11" customWidth="1"/>
    <col min="20" max="20" width="21.5546875" customWidth="1"/>
    <col min="21" max="21" width="9.6640625" customWidth="1"/>
    <col min="22" max="22" width="14.21875" customWidth="1"/>
    <col min="23" max="23" width="28.109375" customWidth="1"/>
    <col min="24" max="24" width="8.5546875" customWidth="1"/>
    <col min="25" max="25" width="27.88671875" customWidth="1"/>
    <col min="26" max="26" width="26.109375" customWidth="1"/>
    <col min="27" max="27" width="11.109375" customWidth="1"/>
    <col min="28" max="28" width="23.88671875" customWidth="1"/>
    <col min="29" max="29" width="14.88671875" customWidth="1"/>
    <col min="30" max="30" width="14.6640625" customWidth="1"/>
  </cols>
  <sheetData>
    <row r="1" spans="1:30 1059:10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 1059:106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NS2" s="2"/>
      <c r="ANT2" s="3"/>
      <c r="ANU2" s="4"/>
    </row>
    <row r="3" spans="1:30 1059:106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NS3" s="5"/>
      <c r="ANT3" s="6"/>
      <c r="ANU3" s="7"/>
    </row>
    <row r="4" spans="1:30 1059:1061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NS4" s="5"/>
      <c r="ANT4" s="6"/>
      <c r="ANU4" s="7"/>
    </row>
    <row r="5" spans="1:30 1059:1061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NS5" s="5"/>
      <c r="ANT5" s="6"/>
      <c r="ANU5" s="7"/>
    </row>
    <row r="6" spans="1:30 1059:1061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NS6" s="5"/>
      <c r="ANT6" s="6"/>
      <c r="ANU6" s="7"/>
    </row>
    <row r="7" spans="1:30 1059:1061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NS7" s="5"/>
      <c r="ANT7" s="6"/>
      <c r="ANU7" s="7"/>
    </row>
    <row r="8" spans="1:30 1059:1061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NS8" s="5"/>
      <c r="ANT8" s="6"/>
      <c r="ANU8" s="7"/>
    </row>
    <row r="9" spans="1:30 1059:1061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NS9" s="5"/>
      <c r="ANT9" s="6"/>
      <c r="ANU9" s="7"/>
    </row>
    <row r="10" spans="1:30 1059:1061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NS10" s="5"/>
      <c r="ANT10" s="6"/>
      <c r="ANU10" s="7"/>
    </row>
    <row r="11" spans="1:30 1059:1061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NS11" s="5"/>
      <c r="ANT11" s="6"/>
      <c r="ANU11" s="7"/>
    </row>
    <row r="12" spans="1:30 1059:1061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NS12" s="5"/>
      <c r="ANT12" s="6"/>
      <c r="ANU12" s="7"/>
    </row>
    <row r="13" spans="1:30 1059:1061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NS13" s="5"/>
      <c r="ANT13" s="6"/>
      <c r="ANU13" s="7"/>
    </row>
    <row r="14" spans="1:30 1059:1061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NS14" s="5"/>
      <c r="ANT14" s="6"/>
      <c r="ANU14" s="7"/>
    </row>
    <row r="15" spans="1:30 1059:1061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NS15" s="5"/>
      <c r="ANT15" s="6"/>
      <c r="ANU15" s="7"/>
    </row>
    <row r="16" spans="1:30 1059:1061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NS16" s="5"/>
      <c r="ANT16" s="6"/>
      <c r="ANU16" s="7"/>
    </row>
    <row r="17" spans="1:30 1059:1061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NS17" s="5"/>
      <c r="ANT17" s="6"/>
      <c r="ANU17" s="7"/>
    </row>
    <row r="18" spans="1:30 1059:1061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NS18" s="5"/>
      <c r="ANT18" s="6"/>
      <c r="ANU18" s="7"/>
    </row>
    <row r="19" spans="1:30 1059:1061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NS19" s="8"/>
      <c r="ANT19" s="9"/>
      <c r="ANU19" s="10"/>
    </row>
    <row r="20" spans="1:30 1059:1061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 1059:1061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 1059:1061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 1059:1061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 1059:1061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 1059:1061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 1059:1061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 1059:1061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 1059:1061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 1059:1061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 1059:1061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 1059:1061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 1059:1061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>
        <v>167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159.6</v>
      </c>
      <c r="P260">
        <v>150.1</v>
      </c>
      <c r="Q260">
        <v>171.2</v>
      </c>
      <c r="R260">
        <v>151.19999999999999</v>
      </c>
      <c r="S260">
        <v>141.9</v>
      </c>
      <c r="T260">
        <v>149.80000000000001</v>
      </c>
      <c r="U260" t="s">
        <v>32</v>
      </c>
      <c r="V260">
        <v>148.4</v>
      </c>
      <c r="W260">
        <v>146.4</v>
      </c>
      <c r="X260">
        <v>154.30000000000001</v>
      </c>
      <c r="Y260">
        <v>129.9</v>
      </c>
      <c r="Z260">
        <v>143.69999999999999</v>
      </c>
      <c r="AA260">
        <v>156.1</v>
      </c>
      <c r="AB260">
        <v>145.19999999999999</v>
      </c>
      <c r="AC260">
        <v>143.80000000000001</v>
      </c>
      <c r="AD260">
        <v>148.6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>
        <v>167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159.6</v>
      </c>
      <c r="P261">
        <v>153.5</v>
      </c>
      <c r="Q261">
        <v>171.2</v>
      </c>
      <c r="R261">
        <v>151.19999999999999</v>
      </c>
      <c r="S261">
        <v>141.9</v>
      </c>
      <c r="T261">
        <v>149.80000000000001</v>
      </c>
      <c r="U261">
        <v>155.6</v>
      </c>
      <c r="V261">
        <v>137.1</v>
      </c>
      <c r="W261">
        <v>146.4</v>
      </c>
      <c r="X261">
        <v>144.80000000000001</v>
      </c>
      <c r="Y261">
        <v>129.9</v>
      </c>
      <c r="Z261">
        <v>143.69999999999999</v>
      </c>
      <c r="AA261">
        <v>156.1</v>
      </c>
      <c r="AB261">
        <v>145.19999999999999</v>
      </c>
      <c r="AC261">
        <v>143.80000000000001</v>
      </c>
      <c r="AD261">
        <v>148.6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>
        <v>167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159.6</v>
      </c>
      <c r="P262">
        <v>151.4</v>
      </c>
      <c r="Q262">
        <v>171.2</v>
      </c>
      <c r="R262">
        <v>151.19999999999999</v>
      </c>
      <c r="S262">
        <v>141.9</v>
      </c>
      <c r="T262">
        <v>149.80000000000001</v>
      </c>
      <c r="U262">
        <v>155.6</v>
      </c>
      <c r="V262">
        <v>144.1</v>
      </c>
      <c r="W262">
        <v>146.4</v>
      </c>
      <c r="X262">
        <v>150.69999999999999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x14ac:dyDescent="0.3">
      <c r="A263" t="s">
        <v>30</v>
      </c>
      <c r="B263">
        <v>2020</v>
      </c>
      <c r="C263" t="s">
        <v>39</v>
      </c>
      <c r="D263">
        <v>148.19999999999999</v>
      </c>
      <c r="E263">
        <v>190.3</v>
      </c>
      <c r="F263">
        <v>149.4</v>
      </c>
      <c r="G263">
        <v>153.30000000000001</v>
      </c>
      <c r="H263">
        <v>138.19999999999999</v>
      </c>
      <c r="I263">
        <v>143.19999999999999</v>
      </c>
      <c r="J263">
        <v>148.9</v>
      </c>
      <c r="K263">
        <v>150.30000000000001</v>
      </c>
      <c r="L263">
        <v>113.2</v>
      </c>
      <c r="M263">
        <v>159.80000000000001</v>
      </c>
      <c r="N263">
        <v>142.1</v>
      </c>
      <c r="O263">
        <v>161.80000000000001</v>
      </c>
      <c r="P263">
        <v>152.30000000000001</v>
      </c>
      <c r="Q263">
        <v>182.4</v>
      </c>
      <c r="R263">
        <v>154.69999999999999</v>
      </c>
      <c r="S263">
        <v>150</v>
      </c>
      <c r="T263">
        <v>154.1</v>
      </c>
      <c r="U263" t="s">
        <v>32</v>
      </c>
      <c r="V263">
        <v>144.9</v>
      </c>
      <c r="W263">
        <v>151.69999999999999</v>
      </c>
      <c r="X263">
        <v>158.19999999999999</v>
      </c>
      <c r="Y263">
        <v>141.4</v>
      </c>
      <c r="Z263">
        <v>153.19999999999999</v>
      </c>
      <c r="AA263">
        <v>161.80000000000001</v>
      </c>
      <c r="AB263">
        <v>151.19999999999999</v>
      </c>
      <c r="AC263">
        <v>151.69999999999999</v>
      </c>
      <c r="AD263">
        <v>152.69999999999999</v>
      </c>
    </row>
    <row r="264" spans="1:30" x14ac:dyDescent="0.3">
      <c r="A264" t="s">
        <v>33</v>
      </c>
      <c r="B264">
        <v>2020</v>
      </c>
      <c r="C264" t="s">
        <v>39</v>
      </c>
      <c r="D264">
        <v>152.69999999999999</v>
      </c>
      <c r="E264">
        <v>197</v>
      </c>
      <c r="F264">
        <v>154.6</v>
      </c>
      <c r="G264">
        <v>153.4</v>
      </c>
      <c r="H264">
        <v>132.9</v>
      </c>
      <c r="I264">
        <v>151.80000000000001</v>
      </c>
      <c r="J264">
        <v>171.2</v>
      </c>
      <c r="K264">
        <v>152</v>
      </c>
      <c r="L264">
        <v>116.3</v>
      </c>
      <c r="M264">
        <v>158.80000000000001</v>
      </c>
      <c r="N264">
        <v>135.6</v>
      </c>
      <c r="O264">
        <v>161.69999999999999</v>
      </c>
      <c r="P264">
        <v>157</v>
      </c>
      <c r="Q264">
        <v>186.7</v>
      </c>
      <c r="R264">
        <v>149.1</v>
      </c>
      <c r="S264">
        <v>136.6</v>
      </c>
      <c r="T264">
        <v>147.19999999999999</v>
      </c>
      <c r="U264">
        <v>154.69999999999999</v>
      </c>
      <c r="V264">
        <v>137.1</v>
      </c>
      <c r="W264">
        <v>140.4</v>
      </c>
      <c r="X264">
        <v>148.1</v>
      </c>
      <c r="Y264">
        <v>129.30000000000001</v>
      </c>
      <c r="Z264">
        <v>144.5</v>
      </c>
      <c r="AA264">
        <v>152.5</v>
      </c>
      <c r="AB264">
        <v>152.19999999999999</v>
      </c>
      <c r="AC264">
        <v>142</v>
      </c>
      <c r="AD264">
        <v>150.80000000000001</v>
      </c>
    </row>
    <row r="265" spans="1:30" x14ac:dyDescent="0.3">
      <c r="A265" t="s">
        <v>34</v>
      </c>
      <c r="B265">
        <v>2020</v>
      </c>
      <c r="C265" t="s">
        <v>39</v>
      </c>
      <c r="D265">
        <v>149.6</v>
      </c>
      <c r="E265">
        <v>192.7</v>
      </c>
      <c r="F265">
        <v>151.4</v>
      </c>
      <c r="G265">
        <v>153.30000000000001</v>
      </c>
      <c r="H265">
        <v>136.30000000000001</v>
      </c>
      <c r="I265">
        <v>147.19999999999999</v>
      </c>
      <c r="J265">
        <v>156.5</v>
      </c>
      <c r="K265">
        <v>150.9</v>
      </c>
      <c r="L265">
        <v>114.2</v>
      </c>
      <c r="M265">
        <v>159.5</v>
      </c>
      <c r="N265">
        <v>139.4</v>
      </c>
      <c r="O265">
        <v>161.80000000000001</v>
      </c>
      <c r="P265">
        <v>154</v>
      </c>
      <c r="Q265">
        <v>183.5</v>
      </c>
      <c r="R265">
        <v>152.5</v>
      </c>
      <c r="S265">
        <v>144.4</v>
      </c>
      <c r="T265">
        <v>151.4</v>
      </c>
      <c r="U265">
        <v>154.69999999999999</v>
      </c>
      <c r="V265">
        <v>141.9</v>
      </c>
      <c r="W265">
        <v>146.4</v>
      </c>
      <c r="X265">
        <v>154.4</v>
      </c>
      <c r="Y265">
        <v>135</v>
      </c>
      <c r="Z265">
        <v>148.30000000000001</v>
      </c>
      <c r="AA265">
        <v>156.4</v>
      </c>
      <c r="AB265">
        <v>151.6</v>
      </c>
      <c r="AC265">
        <v>147</v>
      </c>
      <c r="AD265">
        <v>151.80000000000001</v>
      </c>
    </row>
    <row r="266" spans="1:30" x14ac:dyDescent="0.3">
      <c r="A266" t="s">
        <v>30</v>
      </c>
      <c r="B266">
        <v>2020</v>
      </c>
      <c r="C266" t="s">
        <v>40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40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40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41</v>
      </c>
      <c r="D269">
        <v>147.6</v>
      </c>
      <c r="E269">
        <v>187.2</v>
      </c>
      <c r="F269">
        <v>148.4</v>
      </c>
      <c r="G269">
        <v>153.30000000000001</v>
      </c>
      <c r="H269">
        <v>139.80000000000001</v>
      </c>
      <c r="I269">
        <v>146.9</v>
      </c>
      <c r="J269">
        <v>171</v>
      </c>
      <c r="K269">
        <v>149.9</v>
      </c>
      <c r="L269">
        <v>114.2</v>
      </c>
      <c r="M269">
        <v>160</v>
      </c>
      <c r="N269">
        <v>143.5</v>
      </c>
      <c r="O269">
        <v>161.5</v>
      </c>
      <c r="P269">
        <v>155.30000000000001</v>
      </c>
      <c r="Q269">
        <v>180.9</v>
      </c>
      <c r="R269">
        <v>155.1</v>
      </c>
      <c r="S269">
        <v>149.30000000000001</v>
      </c>
      <c r="T269">
        <v>154.30000000000001</v>
      </c>
      <c r="U269" t="s">
        <v>32</v>
      </c>
      <c r="V269">
        <v>145.80000000000001</v>
      </c>
      <c r="W269">
        <v>151.9</v>
      </c>
      <c r="X269">
        <v>158.80000000000001</v>
      </c>
      <c r="Y269">
        <v>143.6</v>
      </c>
      <c r="Z269">
        <v>152.19999999999999</v>
      </c>
      <c r="AA269">
        <v>162.69999999999999</v>
      </c>
      <c r="AB269">
        <v>153.6</v>
      </c>
      <c r="AC269">
        <v>153</v>
      </c>
      <c r="AD269">
        <v>154.69999999999999</v>
      </c>
    </row>
    <row r="270" spans="1:30" x14ac:dyDescent="0.3">
      <c r="A270" t="s">
        <v>33</v>
      </c>
      <c r="B270">
        <v>2020</v>
      </c>
      <c r="C270" t="s">
        <v>41</v>
      </c>
      <c r="D270">
        <v>151.6</v>
      </c>
      <c r="E270">
        <v>197.8</v>
      </c>
      <c r="F270">
        <v>154.5</v>
      </c>
      <c r="G270">
        <v>153.4</v>
      </c>
      <c r="H270">
        <v>133.4</v>
      </c>
      <c r="I270">
        <v>154.5</v>
      </c>
      <c r="J270">
        <v>191.9</v>
      </c>
      <c r="K270">
        <v>151.30000000000001</v>
      </c>
      <c r="L270">
        <v>116.8</v>
      </c>
      <c r="M270">
        <v>160</v>
      </c>
      <c r="N270">
        <v>136.5</v>
      </c>
      <c r="O270">
        <v>163.30000000000001</v>
      </c>
      <c r="P270">
        <v>159.9</v>
      </c>
      <c r="Q270">
        <v>187.2</v>
      </c>
      <c r="R270">
        <v>150</v>
      </c>
      <c r="S270">
        <v>135.19999999999999</v>
      </c>
      <c r="T270">
        <v>147.80000000000001</v>
      </c>
      <c r="U270">
        <v>155.5</v>
      </c>
      <c r="V270">
        <v>138.30000000000001</v>
      </c>
      <c r="W270">
        <v>144.5</v>
      </c>
      <c r="X270">
        <v>148.69999999999999</v>
      </c>
      <c r="Y270">
        <v>133.9</v>
      </c>
      <c r="Z270">
        <v>141.19999999999999</v>
      </c>
      <c r="AA270">
        <v>155.5</v>
      </c>
      <c r="AB270">
        <v>155.19999999999999</v>
      </c>
      <c r="AC270">
        <v>144.80000000000001</v>
      </c>
      <c r="AD270">
        <v>152.9</v>
      </c>
    </row>
    <row r="271" spans="1:30" x14ac:dyDescent="0.3">
      <c r="A271" t="s">
        <v>34</v>
      </c>
      <c r="B271">
        <v>2020</v>
      </c>
      <c r="C271" t="s">
        <v>41</v>
      </c>
      <c r="D271">
        <v>148.9</v>
      </c>
      <c r="E271">
        <v>190.9</v>
      </c>
      <c r="F271">
        <v>150.80000000000001</v>
      </c>
      <c r="G271">
        <v>153.30000000000001</v>
      </c>
      <c r="H271">
        <v>137.4</v>
      </c>
      <c r="I271">
        <v>150.4</v>
      </c>
      <c r="J271">
        <v>178.1</v>
      </c>
      <c r="K271">
        <v>150.4</v>
      </c>
      <c r="L271">
        <v>115.1</v>
      </c>
      <c r="M271">
        <v>160</v>
      </c>
      <c r="N271">
        <v>140.6</v>
      </c>
      <c r="O271">
        <v>162.30000000000001</v>
      </c>
      <c r="P271">
        <v>157</v>
      </c>
      <c r="Q271">
        <v>182.6</v>
      </c>
      <c r="R271">
        <v>153.1</v>
      </c>
      <c r="S271">
        <v>143.4</v>
      </c>
      <c r="T271">
        <v>151.69999999999999</v>
      </c>
      <c r="U271">
        <v>155.5</v>
      </c>
      <c r="V271">
        <v>143</v>
      </c>
      <c r="W271">
        <v>148.4</v>
      </c>
      <c r="X271">
        <v>155</v>
      </c>
      <c r="Y271">
        <v>138.5</v>
      </c>
      <c r="Z271">
        <v>146</v>
      </c>
      <c r="AA271">
        <v>158.5</v>
      </c>
      <c r="AB271">
        <v>154.30000000000001</v>
      </c>
      <c r="AC271">
        <v>149</v>
      </c>
      <c r="AD271">
        <v>153.9</v>
      </c>
    </row>
    <row r="272" spans="1:30" x14ac:dyDescent="0.3">
      <c r="A272" t="s">
        <v>30</v>
      </c>
      <c r="B272">
        <v>2020</v>
      </c>
      <c r="C272" t="s">
        <v>42</v>
      </c>
      <c r="D272">
        <v>146.9</v>
      </c>
      <c r="E272">
        <v>183.9</v>
      </c>
      <c r="F272">
        <v>149.5</v>
      </c>
      <c r="G272">
        <v>153.4</v>
      </c>
      <c r="H272">
        <v>140.4</v>
      </c>
      <c r="I272">
        <v>147</v>
      </c>
      <c r="J272">
        <v>178.8</v>
      </c>
      <c r="K272">
        <v>149.30000000000001</v>
      </c>
      <c r="L272">
        <v>115.1</v>
      </c>
      <c r="M272">
        <v>160</v>
      </c>
      <c r="N272">
        <v>145.4</v>
      </c>
      <c r="O272">
        <v>161.6</v>
      </c>
      <c r="P272">
        <v>156.1</v>
      </c>
      <c r="Q272">
        <v>182.9</v>
      </c>
      <c r="R272">
        <v>155.4</v>
      </c>
      <c r="S272">
        <v>149.9</v>
      </c>
      <c r="T272">
        <v>154.6</v>
      </c>
      <c r="U272" t="s">
        <v>32</v>
      </c>
      <c r="V272">
        <v>146.4</v>
      </c>
      <c r="W272">
        <v>151.6</v>
      </c>
      <c r="X272">
        <v>159.1</v>
      </c>
      <c r="Y272">
        <v>144.6</v>
      </c>
      <c r="Z272">
        <v>152.80000000000001</v>
      </c>
      <c r="AA272">
        <v>161.1</v>
      </c>
      <c r="AB272">
        <v>157.4</v>
      </c>
      <c r="AC272">
        <v>153.69999999999999</v>
      </c>
      <c r="AD272">
        <v>155.4</v>
      </c>
    </row>
    <row r="273" spans="1:30" x14ac:dyDescent="0.3">
      <c r="A273" t="s">
        <v>33</v>
      </c>
      <c r="B273">
        <v>2020</v>
      </c>
      <c r="C273" t="s">
        <v>42</v>
      </c>
      <c r="D273">
        <v>151.5</v>
      </c>
      <c r="E273">
        <v>193.1</v>
      </c>
      <c r="F273">
        <v>157.30000000000001</v>
      </c>
      <c r="G273">
        <v>153.9</v>
      </c>
      <c r="H273">
        <v>134.4</v>
      </c>
      <c r="I273">
        <v>155.4</v>
      </c>
      <c r="J273">
        <v>202</v>
      </c>
      <c r="K273">
        <v>150.80000000000001</v>
      </c>
      <c r="L273">
        <v>118.9</v>
      </c>
      <c r="M273">
        <v>160.9</v>
      </c>
      <c r="N273">
        <v>137.69999999999999</v>
      </c>
      <c r="O273">
        <v>164.4</v>
      </c>
      <c r="P273">
        <v>161.30000000000001</v>
      </c>
      <c r="Q273">
        <v>188.7</v>
      </c>
      <c r="R273">
        <v>150.19999999999999</v>
      </c>
      <c r="S273">
        <v>136.30000000000001</v>
      </c>
      <c r="T273">
        <v>148.1</v>
      </c>
      <c r="U273">
        <v>156.30000000000001</v>
      </c>
      <c r="V273">
        <v>137.19999999999999</v>
      </c>
      <c r="W273">
        <v>145.4</v>
      </c>
      <c r="X273">
        <v>150</v>
      </c>
      <c r="Y273">
        <v>135.1</v>
      </c>
      <c r="Z273">
        <v>141.80000000000001</v>
      </c>
      <c r="AA273">
        <v>154.9</v>
      </c>
      <c r="AB273">
        <v>159.80000000000001</v>
      </c>
      <c r="AC273">
        <v>146</v>
      </c>
      <c r="AD273">
        <v>154</v>
      </c>
    </row>
    <row r="274" spans="1:30" x14ac:dyDescent="0.3">
      <c r="A274" t="s">
        <v>34</v>
      </c>
      <c r="B274">
        <v>2020</v>
      </c>
      <c r="C274" t="s">
        <v>42</v>
      </c>
      <c r="D274">
        <v>148.4</v>
      </c>
      <c r="E274">
        <v>187.1</v>
      </c>
      <c r="F274">
        <v>152.5</v>
      </c>
      <c r="G274">
        <v>153.6</v>
      </c>
      <c r="H274">
        <v>138.19999999999999</v>
      </c>
      <c r="I274">
        <v>150.9</v>
      </c>
      <c r="J274">
        <v>186.7</v>
      </c>
      <c r="K274">
        <v>149.80000000000001</v>
      </c>
      <c r="L274">
        <v>116.4</v>
      </c>
      <c r="M274">
        <v>160.30000000000001</v>
      </c>
      <c r="N274">
        <v>142.19999999999999</v>
      </c>
      <c r="O274">
        <v>162.9</v>
      </c>
      <c r="P274">
        <v>158</v>
      </c>
      <c r="Q274">
        <v>184.4</v>
      </c>
      <c r="R274">
        <v>153.4</v>
      </c>
      <c r="S274">
        <v>144.30000000000001</v>
      </c>
      <c r="T274">
        <v>152</v>
      </c>
      <c r="U274">
        <v>156.30000000000001</v>
      </c>
      <c r="V274">
        <v>142.9</v>
      </c>
      <c r="W274">
        <v>148.69999999999999</v>
      </c>
      <c r="X274">
        <v>155.6</v>
      </c>
      <c r="Y274">
        <v>139.6</v>
      </c>
      <c r="Z274">
        <v>146.6</v>
      </c>
      <c r="AA274">
        <v>157.5</v>
      </c>
      <c r="AB274">
        <v>158.4</v>
      </c>
      <c r="AC274">
        <v>150</v>
      </c>
      <c r="AD274">
        <v>154.69999999999999</v>
      </c>
    </row>
    <row r="275" spans="1:30" x14ac:dyDescent="0.3">
      <c r="A275" t="s">
        <v>30</v>
      </c>
      <c r="B275">
        <v>2020</v>
      </c>
      <c r="C275" t="s">
        <v>43</v>
      </c>
      <c r="D275">
        <v>146</v>
      </c>
      <c r="E275">
        <v>186.3</v>
      </c>
      <c r="F275">
        <v>159.19999999999999</v>
      </c>
      <c r="G275">
        <v>153.6</v>
      </c>
      <c r="H275">
        <v>142.6</v>
      </c>
      <c r="I275">
        <v>147.19999999999999</v>
      </c>
      <c r="J275">
        <v>200.6</v>
      </c>
      <c r="K275">
        <v>150.30000000000001</v>
      </c>
      <c r="L275">
        <v>115.3</v>
      </c>
      <c r="M275">
        <v>160.9</v>
      </c>
      <c r="N275">
        <v>147.4</v>
      </c>
      <c r="O275">
        <v>161.9</v>
      </c>
      <c r="P275">
        <v>159.6</v>
      </c>
      <c r="Q275">
        <v>182.7</v>
      </c>
      <c r="R275">
        <v>155.69999999999999</v>
      </c>
      <c r="S275">
        <v>150.6</v>
      </c>
      <c r="T275">
        <v>155</v>
      </c>
      <c r="U275" t="s">
        <v>32</v>
      </c>
      <c r="V275">
        <v>146.80000000000001</v>
      </c>
      <c r="W275">
        <v>152</v>
      </c>
      <c r="X275">
        <v>159.5</v>
      </c>
      <c r="Y275">
        <v>146.4</v>
      </c>
      <c r="Z275">
        <v>152.4</v>
      </c>
      <c r="AA275">
        <v>162.5</v>
      </c>
      <c r="AB275">
        <v>156.19999999999999</v>
      </c>
      <c r="AC275">
        <v>154.30000000000001</v>
      </c>
      <c r="AD275">
        <v>157.5</v>
      </c>
    </row>
    <row r="276" spans="1:30" x14ac:dyDescent="0.3">
      <c r="A276" t="s">
        <v>33</v>
      </c>
      <c r="B276">
        <v>2020</v>
      </c>
      <c r="C276" t="s">
        <v>43</v>
      </c>
      <c r="D276">
        <v>150.6</v>
      </c>
      <c r="E276">
        <v>193.7</v>
      </c>
      <c r="F276">
        <v>164.8</v>
      </c>
      <c r="G276">
        <v>153.69999999999999</v>
      </c>
      <c r="H276">
        <v>135.69999999999999</v>
      </c>
      <c r="I276">
        <v>155.69999999999999</v>
      </c>
      <c r="J276">
        <v>226</v>
      </c>
      <c r="K276">
        <v>152.19999999999999</v>
      </c>
      <c r="L276">
        <v>118.1</v>
      </c>
      <c r="M276">
        <v>161.30000000000001</v>
      </c>
      <c r="N276">
        <v>139.19999999999999</v>
      </c>
      <c r="O276">
        <v>164.8</v>
      </c>
      <c r="P276">
        <v>164.4</v>
      </c>
      <c r="Q276">
        <v>188.7</v>
      </c>
      <c r="R276">
        <v>150.5</v>
      </c>
      <c r="S276">
        <v>136.1</v>
      </c>
      <c r="T276">
        <v>148.30000000000001</v>
      </c>
      <c r="U276">
        <v>156.5</v>
      </c>
      <c r="V276">
        <v>137.1</v>
      </c>
      <c r="W276">
        <v>145.1</v>
      </c>
      <c r="X276">
        <v>151</v>
      </c>
      <c r="Y276">
        <v>135.4</v>
      </c>
      <c r="Z276">
        <v>142</v>
      </c>
      <c r="AA276">
        <v>155.69999999999999</v>
      </c>
      <c r="AB276">
        <v>158.1</v>
      </c>
      <c r="AC276">
        <v>146.19999999999999</v>
      </c>
      <c r="AD276">
        <v>155.19999999999999</v>
      </c>
    </row>
    <row r="277" spans="1:30" x14ac:dyDescent="0.3">
      <c r="A277" t="s">
        <v>34</v>
      </c>
      <c r="B277">
        <v>2020</v>
      </c>
      <c r="C277" t="s">
        <v>43</v>
      </c>
      <c r="D277">
        <v>147.5</v>
      </c>
      <c r="E277">
        <v>188.9</v>
      </c>
      <c r="F277">
        <v>161.4</v>
      </c>
      <c r="G277">
        <v>153.6</v>
      </c>
      <c r="H277">
        <v>140.1</v>
      </c>
      <c r="I277">
        <v>151.19999999999999</v>
      </c>
      <c r="J277">
        <v>209.2</v>
      </c>
      <c r="K277">
        <v>150.9</v>
      </c>
      <c r="L277">
        <v>116.2</v>
      </c>
      <c r="M277">
        <v>161</v>
      </c>
      <c r="N277">
        <v>144</v>
      </c>
      <c r="O277">
        <v>163.19999999999999</v>
      </c>
      <c r="P277">
        <v>161.4</v>
      </c>
      <c r="Q277">
        <v>184.3</v>
      </c>
      <c r="R277">
        <v>153.69999999999999</v>
      </c>
      <c r="S277">
        <v>144.6</v>
      </c>
      <c r="T277">
        <v>152.30000000000001</v>
      </c>
      <c r="U277">
        <v>156.5</v>
      </c>
      <c r="V277">
        <v>143.1</v>
      </c>
      <c r="W277">
        <v>148.69999999999999</v>
      </c>
      <c r="X277">
        <v>156.30000000000001</v>
      </c>
      <c r="Y277">
        <v>140.6</v>
      </c>
      <c r="Z277">
        <v>146.5</v>
      </c>
      <c r="AA277">
        <v>158.5</v>
      </c>
      <c r="AB277">
        <v>157</v>
      </c>
      <c r="AC277">
        <v>150.4</v>
      </c>
      <c r="AD277">
        <v>156.4</v>
      </c>
    </row>
    <row r="278" spans="1:30" x14ac:dyDescent="0.3">
      <c r="A278" t="s">
        <v>30</v>
      </c>
      <c r="B278">
        <v>2020</v>
      </c>
      <c r="C278" t="s">
        <v>45</v>
      </c>
      <c r="D278">
        <v>145.4</v>
      </c>
      <c r="E278">
        <v>188.6</v>
      </c>
      <c r="F278">
        <v>171.6</v>
      </c>
      <c r="G278">
        <v>153.80000000000001</v>
      </c>
      <c r="H278">
        <v>145.4</v>
      </c>
      <c r="I278">
        <v>146.5</v>
      </c>
      <c r="J278">
        <v>222.2</v>
      </c>
      <c r="K278">
        <v>155.9</v>
      </c>
      <c r="L278">
        <v>114.9</v>
      </c>
      <c r="M278">
        <v>162</v>
      </c>
      <c r="N278">
        <v>150</v>
      </c>
      <c r="O278">
        <v>162.69999999999999</v>
      </c>
      <c r="P278">
        <v>163.4</v>
      </c>
      <c r="Q278">
        <v>183.4</v>
      </c>
      <c r="R278">
        <v>156.30000000000001</v>
      </c>
      <c r="S278">
        <v>151</v>
      </c>
      <c r="T278">
        <v>155.5</v>
      </c>
      <c r="U278" t="s">
        <v>32</v>
      </c>
      <c r="V278">
        <v>147.5</v>
      </c>
      <c r="W278">
        <v>152.80000000000001</v>
      </c>
      <c r="X278">
        <v>160.4</v>
      </c>
      <c r="Y278">
        <v>146.1</v>
      </c>
      <c r="Z278">
        <v>153.6</v>
      </c>
      <c r="AA278">
        <v>161.6</v>
      </c>
      <c r="AB278">
        <v>156.19999999999999</v>
      </c>
      <c r="AC278">
        <v>154.5</v>
      </c>
      <c r="AD278">
        <v>159.80000000000001</v>
      </c>
    </row>
    <row r="279" spans="1:30" x14ac:dyDescent="0.3">
      <c r="A279" t="s">
        <v>33</v>
      </c>
      <c r="B279">
        <v>2020</v>
      </c>
      <c r="C279" t="s">
        <v>45</v>
      </c>
      <c r="D279">
        <v>149.69999999999999</v>
      </c>
      <c r="E279">
        <v>195.5</v>
      </c>
      <c r="F279">
        <v>176.9</v>
      </c>
      <c r="G279">
        <v>153.9</v>
      </c>
      <c r="H279">
        <v>138</v>
      </c>
      <c r="I279">
        <v>150.5</v>
      </c>
      <c r="J279">
        <v>245.3</v>
      </c>
      <c r="K279">
        <v>158.69999999999999</v>
      </c>
      <c r="L279">
        <v>117.2</v>
      </c>
      <c r="M279">
        <v>161.4</v>
      </c>
      <c r="N279">
        <v>141.5</v>
      </c>
      <c r="O279">
        <v>165.1</v>
      </c>
      <c r="P279">
        <v>167</v>
      </c>
      <c r="Q279">
        <v>188.8</v>
      </c>
      <c r="R279">
        <v>151.1</v>
      </c>
      <c r="S279">
        <v>136.4</v>
      </c>
      <c r="T279">
        <v>148.80000000000001</v>
      </c>
      <c r="U279">
        <v>158</v>
      </c>
      <c r="V279">
        <v>137.30000000000001</v>
      </c>
      <c r="W279">
        <v>145.1</v>
      </c>
      <c r="X279">
        <v>152</v>
      </c>
      <c r="Y279">
        <v>135.19999999999999</v>
      </c>
      <c r="Z279">
        <v>144.4</v>
      </c>
      <c r="AA279">
        <v>156.4</v>
      </c>
      <c r="AB279">
        <v>157.9</v>
      </c>
      <c r="AC279">
        <v>146.6</v>
      </c>
      <c r="AD279">
        <v>156.69999999999999</v>
      </c>
    </row>
    <row r="280" spans="1:30" x14ac:dyDescent="0.3">
      <c r="A280" t="s">
        <v>34</v>
      </c>
      <c r="B280">
        <v>2020</v>
      </c>
      <c r="C280" t="s">
        <v>45</v>
      </c>
      <c r="D280">
        <v>146.80000000000001</v>
      </c>
      <c r="E280">
        <v>191</v>
      </c>
      <c r="F280">
        <v>173.6</v>
      </c>
      <c r="G280">
        <v>153.80000000000001</v>
      </c>
      <c r="H280">
        <v>142.69999999999999</v>
      </c>
      <c r="I280">
        <v>148.4</v>
      </c>
      <c r="J280">
        <v>230</v>
      </c>
      <c r="K280">
        <v>156.80000000000001</v>
      </c>
      <c r="L280">
        <v>115.7</v>
      </c>
      <c r="M280">
        <v>161.80000000000001</v>
      </c>
      <c r="N280">
        <v>146.5</v>
      </c>
      <c r="O280">
        <v>163.80000000000001</v>
      </c>
      <c r="P280">
        <v>164.7</v>
      </c>
      <c r="Q280">
        <v>184.8</v>
      </c>
      <c r="R280">
        <v>154.30000000000001</v>
      </c>
      <c r="S280">
        <v>144.9</v>
      </c>
      <c r="T280">
        <v>152.80000000000001</v>
      </c>
      <c r="U280">
        <v>158</v>
      </c>
      <c r="V280">
        <v>143.6</v>
      </c>
      <c r="W280">
        <v>149.19999999999999</v>
      </c>
      <c r="X280">
        <v>157.19999999999999</v>
      </c>
      <c r="Y280">
        <v>140.4</v>
      </c>
      <c r="Z280">
        <v>148.4</v>
      </c>
      <c r="AA280">
        <v>158.6</v>
      </c>
      <c r="AB280">
        <v>156.9</v>
      </c>
      <c r="AC280">
        <v>150.69999999999999</v>
      </c>
      <c r="AD280">
        <v>158.4</v>
      </c>
    </row>
    <row r="281" spans="1:30" x14ac:dyDescent="0.3">
      <c r="A281" t="s">
        <v>30</v>
      </c>
      <c r="B281">
        <v>2020</v>
      </c>
      <c r="C281" t="s">
        <v>46</v>
      </c>
      <c r="D281">
        <v>144.6</v>
      </c>
      <c r="E281">
        <v>188.5</v>
      </c>
      <c r="F281">
        <v>173.4</v>
      </c>
      <c r="G281">
        <v>154</v>
      </c>
      <c r="H281">
        <v>150</v>
      </c>
      <c r="I281">
        <v>145.9</v>
      </c>
      <c r="J281">
        <v>225.2</v>
      </c>
      <c r="K281">
        <v>159.5</v>
      </c>
      <c r="L281">
        <v>114.4</v>
      </c>
      <c r="M281">
        <v>163.5</v>
      </c>
      <c r="N281">
        <v>153.4</v>
      </c>
      <c r="O281">
        <v>163.6</v>
      </c>
      <c r="P281">
        <v>164.5</v>
      </c>
      <c r="Q281">
        <v>183.6</v>
      </c>
      <c r="R281">
        <v>157</v>
      </c>
      <c r="S281">
        <v>151.6</v>
      </c>
      <c r="T281">
        <v>156.30000000000001</v>
      </c>
      <c r="U281" t="s">
        <v>32</v>
      </c>
      <c r="V281">
        <v>148.69999999999999</v>
      </c>
      <c r="W281">
        <v>153.4</v>
      </c>
      <c r="X281">
        <v>161.6</v>
      </c>
      <c r="Y281">
        <v>146.4</v>
      </c>
      <c r="Z281">
        <v>153.9</v>
      </c>
      <c r="AA281">
        <v>162.9</v>
      </c>
      <c r="AB281">
        <v>156.6</v>
      </c>
      <c r="AC281">
        <v>155.19999999999999</v>
      </c>
      <c r="AD281">
        <v>160.69999999999999</v>
      </c>
    </row>
    <row r="282" spans="1:30" x14ac:dyDescent="0.3">
      <c r="A282" t="s">
        <v>33</v>
      </c>
      <c r="B282">
        <v>2020</v>
      </c>
      <c r="C282" t="s">
        <v>46</v>
      </c>
      <c r="D282">
        <v>149</v>
      </c>
      <c r="E282">
        <v>195.7</v>
      </c>
      <c r="F282">
        <v>178.3</v>
      </c>
      <c r="G282">
        <v>154.19999999999999</v>
      </c>
      <c r="H282">
        <v>140.69999999999999</v>
      </c>
      <c r="I282">
        <v>149.69999999999999</v>
      </c>
      <c r="J282">
        <v>240.9</v>
      </c>
      <c r="K282">
        <v>161.5</v>
      </c>
      <c r="L282">
        <v>117.1</v>
      </c>
      <c r="M282">
        <v>161.9</v>
      </c>
      <c r="N282">
        <v>143.30000000000001</v>
      </c>
      <c r="O282">
        <v>166.1</v>
      </c>
      <c r="P282">
        <v>167</v>
      </c>
      <c r="Q282">
        <v>190.2</v>
      </c>
      <c r="R282">
        <v>151.9</v>
      </c>
      <c r="S282">
        <v>136.69999999999999</v>
      </c>
      <c r="T282">
        <v>149.6</v>
      </c>
      <c r="U282">
        <v>158.4</v>
      </c>
      <c r="V282">
        <v>137.9</v>
      </c>
      <c r="W282">
        <v>145.5</v>
      </c>
      <c r="X282">
        <v>152.9</v>
      </c>
      <c r="Y282">
        <v>135.5</v>
      </c>
      <c r="Z282">
        <v>144.30000000000001</v>
      </c>
      <c r="AA282">
        <v>156.9</v>
      </c>
      <c r="AB282">
        <v>157.9</v>
      </c>
      <c r="AC282">
        <v>146.9</v>
      </c>
      <c r="AD282">
        <v>156.9</v>
      </c>
    </row>
    <row r="283" spans="1:30" x14ac:dyDescent="0.3">
      <c r="A283" t="s">
        <v>34</v>
      </c>
      <c r="B283">
        <v>2020</v>
      </c>
      <c r="C283" t="s">
        <v>46</v>
      </c>
      <c r="D283">
        <v>146</v>
      </c>
      <c r="E283">
        <v>191</v>
      </c>
      <c r="F283">
        <v>175.3</v>
      </c>
      <c r="G283">
        <v>154.1</v>
      </c>
      <c r="H283">
        <v>146.6</v>
      </c>
      <c r="I283">
        <v>147.69999999999999</v>
      </c>
      <c r="J283">
        <v>230.5</v>
      </c>
      <c r="K283">
        <v>160.19999999999999</v>
      </c>
      <c r="L283">
        <v>115.3</v>
      </c>
      <c r="M283">
        <v>163</v>
      </c>
      <c r="N283">
        <v>149.19999999999999</v>
      </c>
      <c r="O283">
        <v>164.8</v>
      </c>
      <c r="P283">
        <v>165.4</v>
      </c>
      <c r="Q283">
        <v>185.4</v>
      </c>
      <c r="R283">
        <v>155</v>
      </c>
      <c r="S283">
        <v>145.4</v>
      </c>
      <c r="T283">
        <v>153.6</v>
      </c>
      <c r="U283">
        <v>158.4</v>
      </c>
      <c r="V283">
        <v>144.6</v>
      </c>
      <c r="W283">
        <v>149.69999999999999</v>
      </c>
      <c r="X283">
        <v>158.30000000000001</v>
      </c>
      <c r="Y283">
        <v>140.69999999999999</v>
      </c>
      <c r="Z283">
        <v>148.5</v>
      </c>
      <c r="AA283">
        <v>159.4</v>
      </c>
      <c r="AB283">
        <v>157.1</v>
      </c>
      <c r="AC283">
        <v>151.19999999999999</v>
      </c>
      <c r="AD283">
        <v>158.9</v>
      </c>
    </row>
    <row r="284" spans="1:30" x14ac:dyDescent="0.3">
      <c r="A284" t="s">
        <v>30</v>
      </c>
      <c r="B284">
        <v>2021</v>
      </c>
      <c r="C284" t="s">
        <v>31</v>
      </c>
      <c r="D284">
        <v>143.4</v>
      </c>
      <c r="E284">
        <v>187.5</v>
      </c>
      <c r="F284">
        <v>173.4</v>
      </c>
      <c r="G284">
        <v>154</v>
      </c>
      <c r="H284">
        <v>154.80000000000001</v>
      </c>
      <c r="I284">
        <v>147</v>
      </c>
      <c r="J284">
        <v>187.8</v>
      </c>
      <c r="K284">
        <v>159.5</v>
      </c>
      <c r="L284">
        <v>113.8</v>
      </c>
      <c r="M284">
        <v>164.5</v>
      </c>
      <c r="N284">
        <v>156.1</v>
      </c>
      <c r="O284">
        <v>164.3</v>
      </c>
      <c r="P284">
        <v>159.6</v>
      </c>
      <c r="Q284">
        <v>184.6</v>
      </c>
      <c r="R284">
        <v>157.5</v>
      </c>
      <c r="S284">
        <v>152.4</v>
      </c>
      <c r="T284">
        <v>156.80000000000001</v>
      </c>
      <c r="U284" t="s">
        <v>32</v>
      </c>
      <c r="V284">
        <v>150.9</v>
      </c>
      <c r="W284">
        <v>153.9</v>
      </c>
      <c r="X284">
        <v>162.5</v>
      </c>
      <c r="Y284">
        <v>147.5</v>
      </c>
      <c r="Z284">
        <v>155.1</v>
      </c>
      <c r="AA284">
        <v>163.5</v>
      </c>
      <c r="AB284">
        <v>156.19999999999999</v>
      </c>
      <c r="AC284">
        <v>155.9</v>
      </c>
      <c r="AD284">
        <v>158.5</v>
      </c>
    </row>
    <row r="285" spans="1:30" x14ac:dyDescent="0.3">
      <c r="A285" t="s">
        <v>33</v>
      </c>
      <c r="B285">
        <v>2021</v>
      </c>
      <c r="C285" t="s">
        <v>31</v>
      </c>
      <c r="D285">
        <v>148</v>
      </c>
      <c r="E285">
        <v>194.8</v>
      </c>
      <c r="F285">
        <v>178.4</v>
      </c>
      <c r="G285">
        <v>154.4</v>
      </c>
      <c r="H285">
        <v>144.1</v>
      </c>
      <c r="I285">
        <v>152.6</v>
      </c>
      <c r="J285">
        <v>206.8</v>
      </c>
      <c r="K285">
        <v>162.1</v>
      </c>
      <c r="L285">
        <v>116.3</v>
      </c>
      <c r="M285">
        <v>163</v>
      </c>
      <c r="N285">
        <v>145.9</v>
      </c>
      <c r="O285">
        <v>167.2</v>
      </c>
      <c r="P285">
        <v>163.4</v>
      </c>
      <c r="Q285">
        <v>191.8</v>
      </c>
      <c r="R285">
        <v>152.5</v>
      </c>
      <c r="S285">
        <v>137.30000000000001</v>
      </c>
      <c r="T285">
        <v>150.19999999999999</v>
      </c>
      <c r="U285">
        <v>157.69999999999999</v>
      </c>
      <c r="V285">
        <v>142.9</v>
      </c>
      <c r="W285">
        <v>145.69999999999999</v>
      </c>
      <c r="X285">
        <v>154.1</v>
      </c>
      <c r="Y285">
        <v>136.9</v>
      </c>
      <c r="Z285">
        <v>145.4</v>
      </c>
      <c r="AA285">
        <v>156.1</v>
      </c>
      <c r="AB285">
        <v>157.69999999999999</v>
      </c>
      <c r="AC285">
        <v>147.6</v>
      </c>
      <c r="AD285">
        <v>156</v>
      </c>
    </row>
    <row r="286" spans="1:30" x14ac:dyDescent="0.3">
      <c r="A286" t="s">
        <v>34</v>
      </c>
      <c r="B286">
        <v>2021</v>
      </c>
      <c r="C286" t="s">
        <v>31</v>
      </c>
      <c r="D286">
        <v>144.9</v>
      </c>
      <c r="E286">
        <v>190.1</v>
      </c>
      <c r="F286">
        <v>175.3</v>
      </c>
      <c r="G286">
        <v>154.1</v>
      </c>
      <c r="H286">
        <v>150.9</v>
      </c>
      <c r="I286">
        <v>149.6</v>
      </c>
      <c r="J286">
        <v>194.2</v>
      </c>
      <c r="K286">
        <v>160.4</v>
      </c>
      <c r="L286">
        <v>114.6</v>
      </c>
      <c r="M286">
        <v>164</v>
      </c>
      <c r="N286">
        <v>151.80000000000001</v>
      </c>
      <c r="O286">
        <v>165.6</v>
      </c>
      <c r="P286">
        <v>161</v>
      </c>
      <c r="Q286">
        <v>186.5</v>
      </c>
      <c r="R286">
        <v>155.5</v>
      </c>
      <c r="S286">
        <v>146.1</v>
      </c>
      <c r="T286">
        <v>154.19999999999999</v>
      </c>
      <c r="U286">
        <v>157.69999999999999</v>
      </c>
      <c r="V286">
        <v>147.9</v>
      </c>
      <c r="W286">
        <v>150</v>
      </c>
      <c r="X286">
        <v>159.30000000000001</v>
      </c>
      <c r="Y286">
        <v>141.9</v>
      </c>
      <c r="Z286">
        <v>149.6</v>
      </c>
      <c r="AA286">
        <v>159.19999999999999</v>
      </c>
      <c r="AB286">
        <v>156.80000000000001</v>
      </c>
      <c r="AC286">
        <v>151.9</v>
      </c>
      <c r="AD286">
        <v>157.30000000000001</v>
      </c>
    </row>
    <row r="287" spans="1:30" x14ac:dyDescent="0.3">
      <c r="A287" t="s">
        <v>30</v>
      </c>
      <c r="B287">
        <v>2021</v>
      </c>
      <c r="C287" t="s">
        <v>35</v>
      </c>
      <c r="D287">
        <v>142.80000000000001</v>
      </c>
      <c r="E287">
        <v>184</v>
      </c>
      <c r="F287">
        <v>168</v>
      </c>
      <c r="G287">
        <v>154.4</v>
      </c>
      <c r="H287">
        <v>163</v>
      </c>
      <c r="I287">
        <v>147.80000000000001</v>
      </c>
      <c r="J287">
        <v>149.69999999999999</v>
      </c>
      <c r="K287">
        <v>158.30000000000001</v>
      </c>
      <c r="L287">
        <v>111.8</v>
      </c>
      <c r="M287">
        <v>165</v>
      </c>
      <c r="N287">
        <v>160</v>
      </c>
      <c r="O287">
        <v>165.8</v>
      </c>
      <c r="P287">
        <v>154.69999999999999</v>
      </c>
      <c r="Q287">
        <v>186.5</v>
      </c>
      <c r="R287">
        <v>159.1</v>
      </c>
      <c r="S287">
        <v>153.9</v>
      </c>
      <c r="T287">
        <v>158.4</v>
      </c>
      <c r="U287" t="s">
        <v>32</v>
      </c>
      <c r="V287">
        <v>154.4</v>
      </c>
      <c r="W287">
        <v>154.80000000000001</v>
      </c>
      <c r="X287">
        <v>164.3</v>
      </c>
      <c r="Y287">
        <v>150.19999999999999</v>
      </c>
      <c r="Z287">
        <v>157</v>
      </c>
      <c r="AA287">
        <v>163.6</v>
      </c>
      <c r="AB287">
        <v>155.19999999999999</v>
      </c>
      <c r="AC287">
        <v>157.19999999999999</v>
      </c>
      <c r="AD287">
        <v>156.69999999999999</v>
      </c>
    </row>
    <row r="288" spans="1:30" x14ac:dyDescent="0.3">
      <c r="A288" t="s">
        <v>33</v>
      </c>
      <c r="B288">
        <v>2021</v>
      </c>
      <c r="C288" t="s">
        <v>35</v>
      </c>
      <c r="D288">
        <v>147.6</v>
      </c>
      <c r="E288">
        <v>191.2</v>
      </c>
      <c r="F288">
        <v>169.9</v>
      </c>
      <c r="G288">
        <v>155.1</v>
      </c>
      <c r="H288">
        <v>151.4</v>
      </c>
      <c r="I288">
        <v>154</v>
      </c>
      <c r="J288">
        <v>180.2</v>
      </c>
      <c r="K288">
        <v>159.80000000000001</v>
      </c>
      <c r="L288">
        <v>114.9</v>
      </c>
      <c r="M288">
        <v>162.5</v>
      </c>
      <c r="N288">
        <v>149.19999999999999</v>
      </c>
      <c r="O288">
        <v>169.4</v>
      </c>
      <c r="P288">
        <v>160.80000000000001</v>
      </c>
      <c r="Q288">
        <v>193.3</v>
      </c>
      <c r="R288">
        <v>154.19999999999999</v>
      </c>
      <c r="S288">
        <v>138.19999999999999</v>
      </c>
      <c r="T288">
        <v>151.80000000000001</v>
      </c>
      <c r="U288">
        <v>159.80000000000001</v>
      </c>
      <c r="V288">
        <v>149.1</v>
      </c>
      <c r="W288">
        <v>146.5</v>
      </c>
      <c r="X288">
        <v>156.30000000000001</v>
      </c>
      <c r="Y288">
        <v>140.5</v>
      </c>
      <c r="Z288">
        <v>147.30000000000001</v>
      </c>
      <c r="AA288">
        <v>156.6</v>
      </c>
      <c r="AB288">
        <v>156.69999999999999</v>
      </c>
      <c r="AC288">
        <v>149.30000000000001</v>
      </c>
      <c r="AD288">
        <v>156.5</v>
      </c>
    </row>
    <row r="289" spans="1:30" x14ac:dyDescent="0.3">
      <c r="A289" t="s">
        <v>34</v>
      </c>
      <c r="B289">
        <v>2021</v>
      </c>
      <c r="C289" t="s">
        <v>35</v>
      </c>
      <c r="D289">
        <v>144.30000000000001</v>
      </c>
      <c r="E289">
        <v>186.5</v>
      </c>
      <c r="F289">
        <v>168.7</v>
      </c>
      <c r="G289">
        <v>154.69999999999999</v>
      </c>
      <c r="H289">
        <v>158.69999999999999</v>
      </c>
      <c r="I289">
        <v>150.69999999999999</v>
      </c>
      <c r="J289">
        <v>160</v>
      </c>
      <c r="K289">
        <v>158.80000000000001</v>
      </c>
      <c r="L289">
        <v>112.8</v>
      </c>
      <c r="M289">
        <v>164.2</v>
      </c>
      <c r="N289">
        <v>155.5</v>
      </c>
      <c r="O289">
        <v>167.5</v>
      </c>
      <c r="P289">
        <v>156.9</v>
      </c>
      <c r="Q289">
        <v>188.3</v>
      </c>
      <c r="R289">
        <v>157.19999999999999</v>
      </c>
      <c r="S289">
        <v>147.4</v>
      </c>
      <c r="T289">
        <v>155.80000000000001</v>
      </c>
      <c r="U289">
        <v>159.80000000000001</v>
      </c>
      <c r="V289">
        <v>152.4</v>
      </c>
      <c r="W289">
        <v>150.9</v>
      </c>
      <c r="X289">
        <v>161.30000000000001</v>
      </c>
      <c r="Y289">
        <v>145.1</v>
      </c>
      <c r="Z289">
        <v>151.5</v>
      </c>
      <c r="AA289">
        <v>159.5</v>
      </c>
      <c r="AB289">
        <v>155.80000000000001</v>
      </c>
      <c r="AC289">
        <v>153.4</v>
      </c>
      <c r="AD289">
        <v>156.6</v>
      </c>
    </row>
    <row r="290" spans="1:30" x14ac:dyDescent="0.3">
      <c r="A290" t="s">
        <v>30</v>
      </c>
      <c r="B290">
        <v>2021</v>
      </c>
      <c r="C290" t="s">
        <v>36</v>
      </c>
      <c r="D290">
        <v>142.5</v>
      </c>
      <c r="E290">
        <v>189.4</v>
      </c>
      <c r="F290">
        <v>163.19999999999999</v>
      </c>
      <c r="G290">
        <v>154.5</v>
      </c>
      <c r="H290">
        <v>168.2</v>
      </c>
      <c r="I290">
        <v>150.5</v>
      </c>
      <c r="J290">
        <v>141</v>
      </c>
      <c r="K290">
        <v>159.19999999999999</v>
      </c>
      <c r="L290">
        <v>111.7</v>
      </c>
      <c r="M290">
        <v>164</v>
      </c>
      <c r="N290">
        <v>160.6</v>
      </c>
      <c r="O290">
        <v>166.4</v>
      </c>
      <c r="P290">
        <v>154.5</v>
      </c>
      <c r="Q290">
        <v>186.1</v>
      </c>
      <c r="R290">
        <v>159.6</v>
      </c>
      <c r="S290">
        <v>154.4</v>
      </c>
      <c r="T290">
        <v>158.9</v>
      </c>
      <c r="U290" t="s">
        <v>47</v>
      </c>
      <c r="V290">
        <v>156</v>
      </c>
      <c r="W290">
        <v>154.80000000000001</v>
      </c>
      <c r="X290">
        <v>164.6</v>
      </c>
      <c r="Y290">
        <v>151.30000000000001</v>
      </c>
      <c r="Z290">
        <v>157.80000000000001</v>
      </c>
      <c r="AA290">
        <v>163.80000000000001</v>
      </c>
      <c r="AB290">
        <v>153.1</v>
      </c>
      <c r="AC290">
        <v>157.30000000000001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36</v>
      </c>
      <c r="D291">
        <v>147.5</v>
      </c>
      <c r="E291">
        <v>197.5</v>
      </c>
      <c r="F291">
        <v>164.7</v>
      </c>
      <c r="G291">
        <v>155.6</v>
      </c>
      <c r="H291">
        <v>156.4</v>
      </c>
      <c r="I291">
        <v>157.30000000000001</v>
      </c>
      <c r="J291">
        <v>166.1</v>
      </c>
      <c r="K291">
        <v>161.1</v>
      </c>
      <c r="L291">
        <v>114.3</v>
      </c>
      <c r="M291">
        <v>162.6</v>
      </c>
      <c r="N291">
        <v>150.69999999999999</v>
      </c>
      <c r="O291">
        <v>170.3</v>
      </c>
      <c r="P291">
        <v>160.4</v>
      </c>
      <c r="Q291">
        <v>193.5</v>
      </c>
      <c r="R291">
        <v>155.1</v>
      </c>
      <c r="S291">
        <v>138.69999999999999</v>
      </c>
      <c r="T291">
        <v>152.6</v>
      </c>
      <c r="U291">
        <v>159.9</v>
      </c>
      <c r="V291">
        <v>154.80000000000001</v>
      </c>
      <c r="W291">
        <v>147.19999999999999</v>
      </c>
      <c r="X291">
        <v>156.9</v>
      </c>
      <c r="Y291">
        <v>141.69999999999999</v>
      </c>
      <c r="Z291">
        <v>148.6</v>
      </c>
      <c r="AA291">
        <v>157.6</v>
      </c>
      <c r="AB291">
        <v>154.9</v>
      </c>
      <c r="AC291">
        <v>150</v>
      </c>
      <c r="AD291">
        <v>156.9</v>
      </c>
    </row>
    <row r="292" spans="1:30" x14ac:dyDescent="0.3">
      <c r="A292" t="s">
        <v>34</v>
      </c>
      <c r="B292">
        <v>2021</v>
      </c>
      <c r="C292" t="s">
        <v>36</v>
      </c>
      <c r="D292">
        <v>144.1</v>
      </c>
      <c r="E292">
        <v>192.2</v>
      </c>
      <c r="F292">
        <v>163.80000000000001</v>
      </c>
      <c r="G292">
        <v>154.9</v>
      </c>
      <c r="H292">
        <v>163.9</v>
      </c>
      <c r="I292">
        <v>153.69999999999999</v>
      </c>
      <c r="J292">
        <v>149.5</v>
      </c>
      <c r="K292">
        <v>159.80000000000001</v>
      </c>
      <c r="L292">
        <v>112.6</v>
      </c>
      <c r="M292">
        <v>163.5</v>
      </c>
      <c r="N292">
        <v>156.5</v>
      </c>
      <c r="O292">
        <v>168.2</v>
      </c>
      <c r="P292">
        <v>156.69999999999999</v>
      </c>
      <c r="Q292">
        <v>188.1</v>
      </c>
      <c r="R292">
        <v>157.80000000000001</v>
      </c>
      <c r="S292">
        <v>147.9</v>
      </c>
      <c r="T292">
        <v>156.4</v>
      </c>
      <c r="U292">
        <v>159.9</v>
      </c>
      <c r="V292">
        <v>155.5</v>
      </c>
      <c r="W292">
        <v>151.19999999999999</v>
      </c>
      <c r="X292">
        <v>161.69999999999999</v>
      </c>
      <c r="Y292">
        <v>146.19999999999999</v>
      </c>
      <c r="Z292">
        <v>152.6</v>
      </c>
      <c r="AA292">
        <v>160.19999999999999</v>
      </c>
      <c r="AB292">
        <v>153.80000000000001</v>
      </c>
      <c r="AC292">
        <v>153.80000000000001</v>
      </c>
      <c r="AD292">
        <v>156.80000000000001</v>
      </c>
    </row>
    <row r="293" spans="1:30" x14ac:dyDescent="0.3">
      <c r="A293" t="s">
        <v>30</v>
      </c>
      <c r="B293">
        <v>2021</v>
      </c>
      <c r="C293" t="s">
        <v>37</v>
      </c>
      <c r="D293">
        <v>142.69999999999999</v>
      </c>
      <c r="E293">
        <v>195.5</v>
      </c>
      <c r="F293">
        <v>163.4</v>
      </c>
      <c r="G293">
        <v>155</v>
      </c>
      <c r="H293">
        <v>175.2</v>
      </c>
      <c r="I293">
        <v>160.6</v>
      </c>
      <c r="J293">
        <v>135.1</v>
      </c>
      <c r="K293">
        <v>161.1</v>
      </c>
      <c r="L293">
        <v>112.2</v>
      </c>
      <c r="M293">
        <v>164.4</v>
      </c>
      <c r="N293">
        <v>161.9</v>
      </c>
      <c r="O293">
        <v>166.8</v>
      </c>
      <c r="P293">
        <v>155.6</v>
      </c>
      <c r="Q293">
        <v>186.8</v>
      </c>
      <c r="R293">
        <v>160.69999999999999</v>
      </c>
      <c r="S293">
        <v>155.1</v>
      </c>
      <c r="T293">
        <v>159.9</v>
      </c>
      <c r="U293" t="s">
        <v>47</v>
      </c>
      <c r="V293">
        <v>156</v>
      </c>
      <c r="W293">
        <v>155.5</v>
      </c>
      <c r="X293">
        <v>165.3</v>
      </c>
      <c r="Y293">
        <v>151.69999999999999</v>
      </c>
      <c r="Z293">
        <v>158.6</v>
      </c>
      <c r="AA293">
        <v>164.1</v>
      </c>
      <c r="AB293">
        <v>154.6</v>
      </c>
      <c r="AC293">
        <v>158</v>
      </c>
      <c r="AD293">
        <v>157.6</v>
      </c>
    </row>
    <row r="294" spans="1:30" x14ac:dyDescent="0.3">
      <c r="A294" t="s">
        <v>33</v>
      </c>
      <c r="B294">
        <v>2021</v>
      </c>
      <c r="C294" t="s">
        <v>37</v>
      </c>
      <c r="D294">
        <v>147.6</v>
      </c>
      <c r="E294">
        <v>202.5</v>
      </c>
      <c r="F294">
        <v>166.4</v>
      </c>
      <c r="G294">
        <v>156</v>
      </c>
      <c r="H294">
        <v>161.4</v>
      </c>
      <c r="I294">
        <v>168.8</v>
      </c>
      <c r="J294">
        <v>161.6</v>
      </c>
      <c r="K294">
        <v>162.80000000000001</v>
      </c>
      <c r="L294">
        <v>114.8</v>
      </c>
      <c r="M294">
        <v>162.80000000000001</v>
      </c>
      <c r="N294">
        <v>151.5</v>
      </c>
      <c r="O294">
        <v>171.4</v>
      </c>
      <c r="P294">
        <v>162</v>
      </c>
      <c r="Q294">
        <v>194.4</v>
      </c>
      <c r="R294">
        <v>155.9</v>
      </c>
      <c r="S294">
        <v>139.30000000000001</v>
      </c>
      <c r="T294">
        <v>153.4</v>
      </c>
      <c r="U294">
        <v>161.4</v>
      </c>
      <c r="V294">
        <v>154.9</v>
      </c>
      <c r="W294">
        <v>147.6</v>
      </c>
      <c r="X294">
        <v>157.5</v>
      </c>
      <c r="Y294">
        <v>142.1</v>
      </c>
      <c r="Z294">
        <v>149.1</v>
      </c>
      <c r="AA294">
        <v>157.6</v>
      </c>
      <c r="AB294">
        <v>156.6</v>
      </c>
      <c r="AC294">
        <v>150.5</v>
      </c>
      <c r="AD294">
        <v>158</v>
      </c>
    </row>
    <row r="295" spans="1:30" x14ac:dyDescent="0.3">
      <c r="A295" t="s">
        <v>34</v>
      </c>
      <c r="B295">
        <v>2021</v>
      </c>
      <c r="C295" t="s">
        <v>37</v>
      </c>
      <c r="D295">
        <v>144.30000000000001</v>
      </c>
      <c r="E295">
        <v>198</v>
      </c>
      <c r="F295">
        <v>164.6</v>
      </c>
      <c r="G295">
        <v>155.4</v>
      </c>
      <c r="H295">
        <v>170.1</v>
      </c>
      <c r="I295">
        <v>164.4</v>
      </c>
      <c r="J295">
        <v>144.1</v>
      </c>
      <c r="K295">
        <v>161.69999999999999</v>
      </c>
      <c r="L295">
        <v>113.1</v>
      </c>
      <c r="M295">
        <v>163.9</v>
      </c>
      <c r="N295">
        <v>157.6</v>
      </c>
      <c r="O295">
        <v>168.9</v>
      </c>
      <c r="P295">
        <v>158</v>
      </c>
      <c r="Q295">
        <v>188.8</v>
      </c>
      <c r="R295">
        <v>158.80000000000001</v>
      </c>
      <c r="S295">
        <v>148.5</v>
      </c>
      <c r="T295">
        <v>157.30000000000001</v>
      </c>
      <c r="U295">
        <v>161.4</v>
      </c>
      <c r="V295">
        <v>155.6</v>
      </c>
      <c r="W295">
        <v>151.80000000000001</v>
      </c>
      <c r="X295">
        <v>162.30000000000001</v>
      </c>
      <c r="Y295">
        <v>146.6</v>
      </c>
      <c r="Z295">
        <v>153.19999999999999</v>
      </c>
      <c r="AA295">
        <v>160.30000000000001</v>
      </c>
      <c r="AB295">
        <v>155.4</v>
      </c>
      <c r="AC295">
        <v>154.4</v>
      </c>
      <c r="AD295">
        <v>157.80000000000001</v>
      </c>
    </row>
    <row r="296" spans="1:30" x14ac:dyDescent="0.3">
      <c r="A296" t="s">
        <v>30</v>
      </c>
      <c r="B296">
        <v>2021</v>
      </c>
      <c r="C296" t="s">
        <v>38</v>
      </c>
      <c r="D296">
        <v>145.1</v>
      </c>
      <c r="E296">
        <v>198.5</v>
      </c>
      <c r="F296">
        <v>168.6</v>
      </c>
      <c r="G296">
        <v>155.80000000000001</v>
      </c>
      <c r="H296">
        <v>184.4</v>
      </c>
      <c r="I296">
        <v>162.30000000000001</v>
      </c>
      <c r="J296">
        <v>138.4</v>
      </c>
      <c r="K296">
        <v>165.1</v>
      </c>
      <c r="L296">
        <v>114.3</v>
      </c>
      <c r="M296">
        <v>169.7</v>
      </c>
      <c r="N296">
        <v>164.6</v>
      </c>
      <c r="O296">
        <v>169.8</v>
      </c>
      <c r="P296">
        <v>158.69999999999999</v>
      </c>
      <c r="Q296">
        <v>189.6</v>
      </c>
      <c r="R296">
        <v>165.3</v>
      </c>
      <c r="S296">
        <v>160.6</v>
      </c>
      <c r="T296">
        <v>164.5</v>
      </c>
      <c r="U296" t="s">
        <v>32</v>
      </c>
      <c r="V296">
        <v>161.69999999999999</v>
      </c>
      <c r="W296">
        <v>158.80000000000001</v>
      </c>
      <c r="X296">
        <v>169.1</v>
      </c>
      <c r="Y296">
        <v>153.19999999999999</v>
      </c>
      <c r="Z296">
        <v>160</v>
      </c>
      <c r="AA296">
        <v>167.6</v>
      </c>
      <c r="AB296">
        <v>159.30000000000001</v>
      </c>
      <c r="AC296">
        <v>161.1</v>
      </c>
      <c r="AD296">
        <v>161.1</v>
      </c>
    </row>
    <row r="297" spans="1:30" x14ac:dyDescent="0.3">
      <c r="A297" t="s">
        <v>33</v>
      </c>
      <c r="B297">
        <v>2021</v>
      </c>
      <c r="C297" t="s">
        <v>38</v>
      </c>
      <c r="D297">
        <v>148.80000000000001</v>
      </c>
      <c r="E297">
        <v>204.3</v>
      </c>
      <c r="F297">
        <v>173</v>
      </c>
      <c r="G297">
        <v>156.5</v>
      </c>
      <c r="H297">
        <v>168.8</v>
      </c>
      <c r="I297">
        <v>172.5</v>
      </c>
      <c r="J297">
        <v>166.5</v>
      </c>
      <c r="K297">
        <v>165.9</v>
      </c>
      <c r="L297">
        <v>115.9</v>
      </c>
      <c r="M297">
        <v>165.2</v>
      </c>
      <c r="N297">
        <v>152</v>
      </c>
      <c r="O297">
        <v>171.1</v>
      </c>
      <c r="P297">
        <v>164.2</v>
      </c>
      <c r="Q297">
        <v>198.2</v>
      </c>
      <c r="R297">
        <v>156.5</v>
      </c>
      <c r="S297">
        <v>140.19999999999999</v>
      </c>
      <c r="T297">
        <v>154.1</v>
      </c>
      <c r="U297">
        <v>161.6</v>
      </c>
      <c r="V297">
        <v>155.5</v>
      </c>
      <c r="W297">
        <v>150.1</v>
      </c>
      <c r="X297">
        <v>160.4</v>
      </c>
      <c r="Y297">
        <v>145</v>
      </c>
      <c r="Z297">
        <v>152.6</v>
      </c>
      <c r="AA297">
        <v>156.6</v>
      </c>
      <c r="AB297">
        <v>157.5</v>
      </c>
      <c r="AC297">
        <v>152.30000000000001</v>
      </c>
      <c r="AD297">
        <v>159.5</v>
      </c>
    </row>
    <row r="298" spans="1:30" x14ac:dyDescent="0.3">
      <c r="A298" t="s">
        <v>34</v>
      </c>
      <c r="B298">
        <v>2021</v>
      </c>
      <c r="C298" t="s">
        <v>38</v>
      </c>
      <c r="D298">
        <v>146.30000000000001</v>
      </c>
      <c r="E298">
        <v>200.5</v>
      </c>
      <c r="F298">
        <v>170.3</v>
      </c>
      <c r="G298">
        <v>156.1</v>
      </c>
      <c r="H298">
        <v>178.7</v>
      </c>
      <c r="I298">
        <v>167.1</v>
      </c>
      <c r="J298">
        <v>147.9</v>
      </c>
      <c r="K298">
        <v>165.4</v>
      </c>
      <c r="L298">
        <v>114.8</v>
      </c>
      <c r="M298">
        <v>168.2</v>
      </c>
      <c r="N298">
        <v>159.30000000000001</v>
      </c>
      <c r="O298">
        <v>170.4</v>
      </c>
      <c r="P298">
        <v>160.69999999999999</v>
      </c>
      <c r="Q298">
        <v>191.9</v>
      </c>
      <c r="R298">
        <v>161.80000000000001</v>
      </c>
      <c r="S298">
        <v>152.1</v>
      </c>
      <c r="T298">
        <v>160.4</v>
      </c>
      <c r="U298">
        <v>161.6</v>
      </c>
      <c r="V298">
        <v>159.4</v>
      </c>
      <c r="W298">
        <v>154.69999999999999</v>
      </c>
      <c r="X298">
        <v>165.8</v>
      </c>
      <c r="Y298">
        <v>148.9</v>
      </c>
      <c r="Z298">
        <v>155.80000000000001</v>
      </c>
      <c r="AA298">
        <v>161.19999999999999</v>
      </c>
      <c r="AB298">
        <v>158.6</v>
      </c>
      <c r="AC298">
        <v>156.80000000000001</v>
      </c>
      <c r="AD298">
        <v>160.4</v>
      </c>
    </row>
    <row r="299" spans="1:30" x14ac:dyDescent="0.3">
      <c r="A299" t="s">
        <v>30</v>
      </c>
      <c r="B299">
        <v>2021</v>
      </c>
      <c r="C299" t="s">
        <v>39</v>
      </c>
      <c r="D299">
        <v>145.6</v>
      </c>
      <c r="E299">
        <v>200.1</v>
      </c>
      <c r="F299">
        <v>179.3</v>
      </c>
      <c r="G299">
        <v>156.1</v>
      </c>
      <c r="H299">
        <v>190.4</v>
      </c>
      <c r="I299">
        <v>158.6</v>
      </c>
      <c r="J299">
        <v>144.69999999999999</v>
      </c>
      <c r="K299">
        <v>165.5</v>
      </c>
      <c r="L299">
        <v>114.6</v>
      </c>
      <c r="M299">
        <v>170</v>
      </c>
      <c r="N299">
        <v>165.5</v>
      </c>
      <c r="O299">
        <v>171.7</v>
      </c>
      <c r="P299">
        <v>160.5</v>
      </c>
      <c r="Q299">
        <v>189.1</v>
      </c>
      <c r="R299">
        <v>165.3</v>
      </c>
      <c r="S299">
        <v>159.9</v>
      </c>
      <c r="T299">
        <v>164.6</v>
      </c>
      <c r="U299" t="s">
        <v>32</v>
      </c>
      <c r="V299">
        <v>162.1</v>
      </c>
      <c r="W299">
        <v>159.19999999999999</v>
      </c>
      <c r="X299">
        <v>169.7</v>
      </c>
      <c r="Y299">
        <v>154.19999999999999</v>
      </c>
      <c r="Z299">
        <v>160.4</v>
      </c>
      <c r="AA299">
        <v>166.8</v>
      </c>
      <c r="AB299">
        <v>159.4</v>
      </c>
      <c r="AC299">
        <v>161.5</v>
      </c>
      <c r="AD299">
        <v>162.1</v>
      </c>
    </row>
    <row r="300" spans="1:30" x14ac:dyDescent="0.3">
      <c r="A300" t="s">
        <v>33</v>
      </c>
      <c r="B300">
        <v>2021</v>
      </c>
      <c r="C300" t="s">
        <v>39</v>
      </c>
      <c r="D300">
        <v>149.19999999999999</v>
      </c>
      <c r="E300">
        <v>205.5</v>
      </c>
      <c r="F300">
        <v>182.8</v>
      </c>
      <c r="G300">
        <v>156.5</v>
      </c>
      <c r="H300">
        <v>172.2</v>
      </c>
      <c r="I300">
        <v>171.5</v>
      </c>
      <c r="J300">
        <v>176.2</v>
      </c>
      <c r="K300">
        <v>166.9</v>
      </c>
      <c r="L300">
        <v>116.1</v>
      </c>
      <c r="M300">
        <v>165.5</v>
      </c>
      <c r="N300">
        <v>152.30000000000001</v>
      </c>
      <c r="O300">
        <v>173.3</v>
      </c>
      <c r="P300">
        <v>166.2</v>
      </c>
      <c r="Q300">
        <v>195.6</v>
      </c>
      <c r="R300">
        <v>157.30000000000001</v>
      </c>
      <c r="S300">
        <v>140.5</v>
      </c>
      <c r="T300">
        <v>154.80000000000001</v>
      </c>
      <c r="U300">
        <v>160.5</v>
      </c>
      <c r="V300">
        <v>156.1</v>
      </c>
      <c r="W300">
        <v>149.80000000000001</v>
      </c>
      <c r="X300">
        <v>160.80000000000001</v>
      </c>
      <c r="Y300">
        <v>147.5</v>
      </c>
      <c r="Z300">
        <v>150.69999999999999</v>
      </c>
      <c r="AA300">
        <v>158.1</v>
      </c>
      <c r="AB300">
        <v>158</v>
      </c>
      <c r="AC300">
        <v>153.4</v>
      </c>
      <c r="AD300">
        <v>160.4</v>
      </c>
    </row>
    <row r="301" spans="1:30" x14ac:dyDescent="0.3">
      <c r="A301" t="s">
        <v>34</v>
      </c>
      <c r="B301">
        <v>2021</v>
      </c>
      <c r="C301" t="s">
        <v>39</v>
      </c>
      <c r="D301">
        <v>146.69999999999999</v>
      </c>
      <c r="E301">
        <v>202</v>
      </c>
      <c r="F301">
        <v>180.7</v>
      </c>
      <c r="G301">
        <v>156.19999999999999</v>
      </c>
      <c r="H301">
        <v>183.7</v>
      </c>
      <c r="I301">
        <v>164.6</v>
      </c>
      <c r="J301">
        <v>155.4</v>
      </c>
      <c r="K301">
        <v>166</v>
      </c>
      <c r="L301">
        <v>115.1</v>
      </c>
      <c r="M301">
        <v>168.5</v>
      </c>
      <c r="N301">
        <v>160</v>
      </c>
      <c r="O301">
        <v>172.4</v>
      </c>
      <c r="P301">
        <v>162.6</v>
      </c>
      <c r="Q301">
        <v>190.8</v>
      </c>
      <c r="R301">
        <v>162.19999999999999</v>
      </c>
      <c r="S301">
        <v>151.80000000000001</v>
      </c>
      <c r="T301">
        <v>160.69999999999999</v>
      </c>
      <c r="U301">
        <v>160.5</v>
      </c>
      <c r="V301">
        <v>159.80000000000001</v>
      </c>
      <c r="W301">
        <v>154.80000000000001</v>
      </c>
      <c r="X301">
        <v>166.3</v>
      </c>
      <c r="Y301">
        <v>150.69999999999999</v>
      </c>
      <c r="Z301">
        <v>154.9</v>
      </c>
      <c r="AA301">
        <v>161.69999999999999</v>
      </c>
      <c r="AB301">
        <v>158.80000000000001</v>
      </c>
      <c r="AC301">
        <v>157.6</v>
      </c>
      <c r="AD301">
        <v>161.30000000000001</v>
      </c>
    </row>
    <row r="302" spans="1:30" x14ac:dyDescent="0.3">
      <c r="A302" t="s">
        <v>30</v>
      </c>
      <c r="B302">
        <v>2021</v>
      </c>
      <c r="C302" t="s">
        <v>40</v>
      </c>
      <c r="D302">
        <v>145.1</v>
      </c>
      <c r="E302">
        <v>204.5</v>
      </c>
      <c r="F302">
        <v>180.4</v>
      </c>
      <c r="G302">
        <v>157.1</v>
      </c>
      <c r="H302">
        <v>188.7</v>
      </c>
      <c r="I302">
        <v>157.69999999999999</v>
      </c>
      <c r="J302">
        <v>152.80000000000001</v>
      </c>
      <c r="K302">
        <v>163.6</v>
      </c>
      <c r="L302">
        <v>113.9</v>
      </c>
      <c r="M302">
        <v>169.7</v>
      </c>
      <c r="N302">
        <v>166.2</v>
      </c>
      <c r="O302">
        <v>171</v>
      </c>
      <c r="P302">
        <v>161.69999999999999</v>
      </c>
      <c r="Q302">
        <v>189.7</v>
      </c>
      <c r="R302">
        <v>166</v>
      </c>
      <c r="S302">
        <v>161.1</v>
      </c>
      <c r="T302">
        <v>165.3</v>
      </c>
      <c r="U302" t="s">
        <v>32</v>
      </c>
      <c r="V302">
        <v>162.5</v>
      </c>
      <c r="W302">
        <v>160.30000000000001</v>
      </c>
      <c r="X302">
        <v>170.4</v>
      </c>
      <c r="Y302">
        <v>157.1</v>
      </c>
      <c r="Z302">
        <v>160.69999999999999</v>
      </c>
      <c r="AA302">
        <v>167.2</v>
      </c>
      <c r="AB302">
        <v>160.4</v>
      </c>
      <c r="AC302">
        <v>162.80000000000001</v>
      </c>
      <c r="AD302">
        <v>163.19999999999999</v>
      </c>
    </row>
    <row r="303" spans="1:30" x14ac:dyDescent="0.3">
      <c r="A303" t="s">
        <v>33</v>
      </c>
      <c r="B303">
        <v>2021</v>
      </c>
      <c r="C303" t="s">
        <v>40</v>
      </c>
      <c r="D303">
        <v>149.1</v>
      </c>
      <c r="E303">
        <v>210.9</v>
      </c>
      <c r="F303">
        <v>185</v>
      </c>
      <c r="G303">
        <v>158.19999999999999</v>
      </c>
      <c r="H303">
        <v>170.6</v>
      </c>
      <c r="I303">
        <v>170.9</v>
      </c>
      <c r="J303">
        <v>186.4</v>
      </c>
      <c r="K303">
        <v>164.7</v>
      </c>
      <c r="L303">
        <v>115.7</v>
      </c>
      <c r="M303">
        <v>165.5</v>
      </c>
      <c r="N303">
        <v>153.4</v>
      </c>
      <c r="O303">
        <v>173.5</v>
      </c>
      <c r="P303">
        <v>167.9</v>
      </c>
      <c r="Q303">
        <v>195.5</v>
      </c>
      <c r="R303">
        <v>157.9</v>
      </c>
      <c r="S303">
        <v>141.9</v>
      </c>
      <c r="T303">
        <v>155.5</v>
      </c>
      <c r="U303">
        <v>161.5</v>
      </c>
      <c r="V303">
        <v>157.69999999999999</v>
      </c>
      <c r="W303">
        <v>150.69999999999999</v>
      </c>
      <c r="X303">
        <v>161.5</v>
      </c>
      <c r="Y303">
        <v>149.5</v>
      </c>
      <c r="Z303">
        <v>151.19999999999999</v>
      </c>
      <c r="AA303">
        <v>160.30000000000001</v>
      </c>
      <c r="AB303">
        <v>159.6</v>
      </c>
      <c r="AC303">
        <v>155</v>
      </c>
      <c r="AD303">
        <v>161.80000000000001</v>
      </c>
    </row>
    <row r="304" spans="1:30" x14ac:dyDescent="0.3">
      <c r="A304" t="s">
        <v>34</v>
      </c>
      <c r="B304">
        <v>2021</v>
      </c>
      <c r="C304" t="s">
        <v>40</v>
      </c>
      <c r="D304">
        <v>146.4</v>
      </c>
      <c r="E304">
        <v>206.8</v>
      </c>
      <c r="F304">
        <v>182.2</v>
      </c>
      <c r="G304">
        <v>157.5</v>
      </c>
      <c r="H304">
        <v>182.1</v>
      </c>
      <c r="I304">
        <v>163.9</v>
      </c>
      <c r="J304">
        <v>164.2</v>
      </c>
      <c r="K304">
        <v>164</v>
      </c>
      <c r="L304">
        <v>114.5</v>
      </c>
      <c r="M304">
        <v>168.3</v>
      </c>
      <c r="N304">
        <v>160.9</v>
      </c>
      <c r="O304">
        <v>172.2</v>
      </c>
      <c r="P304">
        <v>164</v>
      </c>
      <c r="Q304">
        <v>191.2</v>
      </c>
      <c r="R304">
        <v>162.80000000000001</v>
      </c>
      <c r="S304">
        <v>153.1</v>
      </c>
      <c r="T304">
        <v>161.4</v>
      </c>
      <c r="U304">
        <v>161.5</v>
      </c>
      <c r="V304">
        <v>160.69999999999999</v>
      </c>
      <c r="W304">
        <v>155.80000000000001</v>
      </c>
      <c r="X304">
        <v>167</v>
      </c>
      <c r="Y304">
        <v>153.1</v>
      </c>
      <c r="Z304">
        <v>155.30000000000001</v>
      </c>
      <c r="AA304">
        <v>163.19999999999999</v>
      </c>
      <c r="AB304">
        <v>160.1</v>
      </c>
      <c r="AC304">
        <v>159</v>
      </c>
      <c r="AD304">
        <v>162.5</v>
      </c>
    </row>
    <row r="305" spans="1:30" x14ac:dyDescent="0.3">
      <c r="A305" t="s">
        <v>30</v>
      </c>
      <c r="B305">
        <v>2021</v>
      </c>
      <c r="C305" t="s">
        <v>41</v>
      </c>
      <c r="D305">
        <v>144.9</v>
      </c>
      <c r="E305">
        <v>202.3</v>
      </c>
      <c r="F305">
        <v>176.5</v>
      </c>
      <c r="G305">
        <v>157.5</v>
      </c>
      <c r="H305">
        <v>190.9</v>
      </c>
      <c r="I305">
        <v>155.69999999999999</v>
      </c>
      <c r="J305">
        <v>153.9</v>
      </c>
      <c r="K305">
        <v>162.80000000000001</v>
      </c>
      <c r="L305">
        <v>115.2</v>
      </c>
      <c r="M305">
        <v>169.8</v>
      </c>
      <c r="N305">
        <v>167.6</v>
      </c>
      <c r="O305">
        <v>171.9</v>
      </c>
      <c r="P305">
        <v>161.80000000000001</v>
      </c>
      <c r="Q305">
        <v>190.2</v>
      </c>
      <c r="R305">
        <v>167</v>
      </c>
      <c r="S305">
        <v>162.6</v>
      </c>
      <c r="T305">
        <v>166.3</v>
      </c>
      <c r="U305" t="s">
        <v>32</v>
      </c>
      <c r="V305">
        <v>163.1</v>
      </c>
      <c r="W305">
        <v>160.9</v>
      </c>
      <c r="X305">
        <v>171.1</v>
      </c>
      <c r="Y305">
        <v>157.69999999999999</v>
      </c>
      <c r="Z305">
        <v>161.1</v>
      </c>
      <c r="AA305">
        <v>167.5</v>
      </c>
      <c r="AB305">
        <v>160.30000000000001</v>
      </c>
      <c r="AC305">
        <v>163.30000000000001</v>
      </c>
      <c r="AD305">
        <v>163.6</v>
      </c>
    </row>
    <row r="306" spans="1:30" x14ac:dyDescent="0.3">
      <c r="A306" t="s">
        <v>33</v>
      </c>
      <c r="B306">
        <v>2021</v>
      </c>
      <c r="C306" t="s">
        <v>41</v>
      </c>
      <c r="D306">
        <v>149.30000000000001</v>
      </c>
      <c r="E306">
        <v>207.4</v>
      </c>
      <c r="F306">
        <v>174.1</v>
      </c>
      <c r="G306">
        <v>159.19999999999999</v>
      </c>
      <c r="H306">
        <v>175</v>
      </c>
      <c r="I306">
        <v>161.30000000000001</v>
      </c>
      <c r="J306">
        <v>183.3</v>
      </c>
      <c r="K306">
        <v>164.5</v>
      </c>
      <c r="L306">
        <v>120.4</v>
      </c>
      <c r="M306">
        <v>166.2</v>
      </c>
      <c r="N306">
        <v>154.80000000000001</v>
      </c>
      <c r="O306">
        <v>175.1</v>
      </c>
      <c r="P306">
        <v>167.3</v>
      </c>
      <c r="Q306">
        <v>196.5</v>
      </c>
      <c r="R306">
        <v>159.80000000000001</v>
      </c>
      <c r="S306">
        <v>143.6</v>
      </c>
      <c r="T306">
        <v>157.30000000000001</v>
      </c>
      <c r="U306">
        <v>162.1</v>
      </c>
      <c r="V306">
        <v>160.69999999999999</v>
      </c>
      <c r="W306">
        <v>153.19999999999999</v>
      </c>
      <c r="X306">
        <v>162.80000000000001</v>
      </c>
      <c r="Y306">
        <v>150.4</v>
      </c>
      <c r="Z306">
        <v>153.69999999999999</v>
      </c>
      <c r="AA306">
        <v>160.4</v>
      </c>
      <c r="AB306">
        <v>159.6</v>
      </c>
      <c r="AC306">
        <v>156</v>
      </c>
      <c r="AD306">
        <v>162.30000000000001</v>
      </c>
    </row>
    <row r="307" spans="1:30" x14ac:dyDescent="0.3">
      <c r="A307" t="s">
        <v>34</v>
      </c>
      <c r="B307">
        <v>2021</v>
      </c>
      <c r="C307" t="s">
        <v>41</v>
      </c>
      <c r="D307">
        <v>146.6</v>
      </c>
      <c r="E307">
        <v>204</v>
      </c>
      <c r="F307">
        <v>172.8</v>
      </c>
      <c r="G307">
        <v>158.4</v>
      </c>
      <c r="H307">
        <v>188</v>
      </c>
      <c r="I307">
        <v>156.80000000000001</v>
      </c>
      <c r="J307">
        <v>162.19999999999999</v>
      </c>
      <c r="K307">
        <v>164.1</v>
      </c>
      <c r="L307">
        <v>119.7</v>
      </c>
      <c r="M307">
        <v>168.8</v>
      </c>
      <c r="N307">
        <v>162.69999999999999</v>
      </c>
      <c r="O307">
        <v>173.9</v>
      </c>
      <c r="P307">
        <v>164</v>
      </c>
      <c r="Q307">
        <v>192.1</v>
      </c>
      <c r="R307">
        <v>164.5</v>
      </c>
      <c r="S307">
        <v>155.30000000000001</v>
      </c>
      <c r="T307">
        <v>163.19999999999999</v>
      </c>
      <c r="U307">
        <v>162.1</v>
      </c>
      <c r="V307">
        <v>162.6</v>
      </c>
      <c r="W307">
        <v>157.5</v>
      </c>
      <c r="X307">
        <v>168.4</v>
      </c>
      <c r="Y307">
        <v>154</v>
      </c>
      <c r="Z307">
        <v>157.6</v>
      </c>
      <c r="AA307">
        <v>163.80000000000001</v>
      </c>
      <c r="AB307">
        <v>160</v>
      </c>
      <c r="AC307">
        <v>160</v>
      </c>
      <c r="AD307">
        <v>163.19999999999999</v>
      </c>
    </row>
    <row r="308" spans="1:30" x14ac:dyDescent="0.3">
      <c r="A308" t="s">
        <v>30</v>
      </c>
      <c r="B308">
        <v>2021</v>
      </c>
      <c r="C308" t="s">
        <v>42</v>
      </c>
      <c r="D308">
        <v>145.4</v>
      </c>
      <c r="E308">
        <v>202.1</v>
      </c>
      <c r="F308">
        <v>172</v>
      </c>
      <c r="G308">
        <v>158</v>
      </c>
      <c r="H308">
        <v>195.5</v>
      </c>
      <c r="I308">
        <v>152.69999999999999</v>
      </c>
      <c r="J308">
        <v>151.4</v>
      </c>
      <c r="K308">
        <v>163.9</v>
      </c>
      <c r="L308">
        <v>119.3</v>
      </c>
      <c r="M308">
        <v>170.1</v>
      </c>
      <c r="N308">
        <v>168.3</v>
      </c>
      <c r="O308">
        <v>172.8</v>
      </c>
      <c r="P308">
        <v>162.1</v>
      </c>
      <c r="Q308">
        <v>190.5</v>
      </c>
      <c r="R308">
        <v>167.7</v>
      </c>
      <c r="S308">
        <v>163.6</v>
      </c>
      <c r="T308">
        <v>167.1</v>
      </c>
      <c r="U308" t="s">
        <v>32</v>
      </c>
      <c r="V308">
        <v>163.69999999999999</v>
      </c>
      <c r="W308">
        <v>161.30000000000001</v>
      </c>
      <c r="X308">
        <v>171.9</v>
      </c>
      <c r="Y308">
        <v>157.80000000000001</v>
      </c>
      <c r="Z308">
        <v>162.69999999999999</v>
      </c>
      <c r="AA308">
        <v>168.5</v>
      </c>
      <c r="AB308">
        <v>160.19999999999999</v>
      </c>
      <c r="AC308">
        <v>163.80000000000001</v>
      </c>
      <c r="AD308">
        <v>164</v>
      </c>
    </row>
    <row r="309" spans="1:30" x14ac:dyDescent="0.3">
      <c r="A309" t="s">
        <v>33</v>
      </c>
      <c r="B309">
        <v>2021</v>
      </c>
      <c r="C309" t="s">
        <v>42</v>
      </c>
      <c r="D309">
        <v>149.30000000000001</v>
      </c>
      <c r="E309">
        <v>207.4</v>
      </c>
      <c r="F309">
        <v>174.1</v>
      </c>
      <c r="G309">
        <v>159.1</v>
      </c>
      <c r="H309">
        <v>175</v>
      </c>
      <c r="I309">
        <v>161.19999999999999</v>
      </c>
      <c r="J309">
        <v>183.5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157.4</v>
      </c>
      <c r="U309">
        <v>162.1</v>
      </c>
      <c r="V309">
        <v>160.80000000000001</v>
      </c>
      <c r="W309">
        <v>153.30000000000001</v>
      </c>
      <c r="X309">
        <v>162.80000000000001</v>
      </c>
      <c r="Y309">
        <v>150.5</v>
      </c>
      <c r="Z309">
        <v>153.9</v>
      </c>
      <c r="AA309">
        <v>160.30000000000001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42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156.69999999999999</v>
      </c>
      <c r="J310">
        <v>162.30000000000001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164.6</v>
      </c>
      <c r="S310">
        <v>155.30000000000001</v>
      </c>
      <c r="T310">
        <v>163.30000000000001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157.69999999999999</v>
      </c>
      <c r="AA310">
        <v>163.69999999999999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43</v>
      </c>
      <c r="D311">
        <v>146.1</v>
      </c>
      <c r="E311">
        <v>202.5</v>
      </c>
      <c r="F311">
        <v>170.1</v>
      </c>
      <c r="G311">
        <v>158.4</v>
      </c>
      <c r="H311">
        <v>198.8</v>
      </c>
      <c r="I311">
        <v>152.6</v>
      </c>
      <c r="J311">
        <v>170.4</v>
      </c>
      <c r="K311">
        <v>165.2</v>
      </c>
      <c r="L311">
        <v>121.6</v>
      </c>
      <c r="M311">
        <v>170.6</v>
      </c>
      <c r="N311">
        <v>168.8</v>
      </c>
      <c r="O311">
        <v>173.6</v>
      </c>
      <c r="P311">
        <v>165.5</v>
      </c>
      <c r="Q311">
        <v>191.2</v>
      </c>
      <c r="R311">
        <v>168.9</v>
      </c>
      <c r="S311">
        <v>164.8</v>
      </c>
      <c r="T311">
        <v>168.3</v>
      </c>
      <c r="U311" t="s">
        <v>32</v>
      </c>
      <c r="V311">
        <v>165.5</v>
      </c>
      <c r="W311">
        <v>162</v>
      </c>
      <c r="X311">
        <v>172.5</v>
      </c>
      <c r="Y311">
        <v>159.5</v>
      </c>
      <c r="Z311">
        <v>163.19999999999999</v>
      </c>
      <c r="AA311">
        <v>169</v>
      </c>
      <c r="AB311">
        <v>161.1</v>
      </c>
      <c r="AC311">
        <v>164.7</v>
      </c>
      <c r="AD311">
        <v>166.3</v>
      </c>
    </row>
    <row r="312" spans="1:30" x14ac:dyDescent="0.3">
      <c r="A312" t="s">
        <v>33</v>
      </c>
      <c r="B312">
        <v>2021</v>
      </c>
      <c r="C312" t="s">
        <v>43</v>
      </c>
      <c r="D312">
        <v>150.1</v>
      </c>
      <c r="E312">
        <v>208.4</v>
      </c>
      <c r="F312">
        <v>173</v>
      </c>
      <c r="G312">
        <v>159.19999999999999</v>
      </c>
      <c r="H312">
        <v>176.6</v>
      </c>
      <c r="I312">
        <v>159.30000000000001</v>
      </c>
      <c r="J312">
        <v>214.4</v>
      </c>
      <c r="K312">
        <v>165.3</v>
      </c>
      <c r="L312">
        <v>122.5</v>
      </c>
      <c r="M312">
        <v>166.8</v>
      </c>
      <c r="N312">
        <v>155.4</v>
      </c>
      <c r="O312">
        <v>175.9</v>
      </c>
      <c r="P312">
        <v>171.5</v>
      </c>
      <c r="Q312">
        <v>197</v>
      </c>
      <c r="R312">
        <v>160.80000000000001</v>
      </c>
      <c r="S312">
        <v>144.4</v>
      </c>
      <c r="T312">
        <v>158.30000000000001</v>
      </c>
      <c r="U312">
        <v>163.6</v>
      </c>
      <c r="V312">
        <v>162.19999999999999</v>
      </c>
      <c r="W312">
        <v>154.30000000000001</v>
      </c>
      <c r="X312">
        <v>163.5</v>
      </c>
      <c r="Y312">
        <v>152.19999999999999</v>
      </c>
      <c r="Z312">
        <v>155.1</v>
      </c>
      <c r="AA312">
        <v>160.30000000000001</v>
      </c>
      <c r="AB312">
        <v>160.30000000000001</v>
      </c>
      <c r="AC312">
        <v>157</v>
      </c>
      <c r="AD312">
        <v>164.6</v>
      </c>
    </row>
    <row r="313" spans="1:30" x14ac:dyDescent="0.3">
      <c r="A313" t="s">
        <v>34</v>
      </c>
      <c r="B313">
        <v>2021</v>
      </c>
      <c r="C313" t="s">
        <v>43</v>
      </c>
      <c r="D313">
        <v>147.4</v>
      </c>
      <c r="E313">
        <v>204.6</v>
      </c>
      <c r="F313">
        <v>171.2</v>
      </c>
      <c r="G313">
        <v>158.69999999999999</v>
      </c>
      <c r="H313">
        <v>190.6</v>
      </c>
      <c r="I313">
        <v>155.69999999999999</v>
      </c>
      <c r="J313">
        <v>185.3</v>
      </c>
      <c r="K313">
        <v>165.2</v>
      </c>
      <c r="L313">
        <v>121.9</v>
      </c>
      <c r="M313">
        <v>169.3</v>
      </c>
      <c r="N313">
        <v>163.19999999999999</v>
      </c>
      <c r="O313">
        <v>174.7</v>
      </c>
      <c r="P313">
        <v>167.7</v>
      </c>
      <c r="Q313">
        <v>192.7</v>
      </c>
      <c r="R313">
        <v>165.7</v>
      </c>
      <c r="S313">
        <v>156.30000000000001</v>
      </c>
      <c r="T313">
        <v>164.3</v>
      </c>
      <c r="U313">
        <v>163.6</v>
      </c>
      <c r="V313">
        <v>164.2</v>
      </c>
      <c r="W313">
        <v>158.4</v>
      </c>
      <c r="X313">
        <v>169.1</v>
      </c>
      <c r="Y313">
        <v>155.69999999999999</v>
      </c>
      <c r="Z313">
        <v>158.6</v>
      </c>
      <c r="AA313">
        <v>163.9</v>
      </c>
      <c r="AB313">
        <v>160.80000000000001</v>
      </c>
      <c r="AC313">
        <v>161</v>
      </c>
      <c r="AD313">
        <v>165.5</v>
      </c>
    </row>
    <row r="314" spans="1:30" x14ac:dyDescent="0.3">
      <c r="A314" t="s">
        <v>30</v>
      </c>
      <c r="B314">
        <v>2021</v>
      </c>
      <c r="C314" t="s">
        <v>45</v>
      </c>
      <c r="D314">
        <v>146.9</v>
      </c>
      <c r="E314">
        <v>199.8</v>
      </c>
      <c r="F314">
        <v>171.5</v>
      </c>
      <c r="G314">
        <v>159.1</v>
      </c>
      <c r="H314">
        <v>198.4</v>
      </c>
      <c r="I314">
        <v>153.19999999999999</v>
      </c>
      <c r="J314">
        <v>183.9</v>
      </c>
      <c r="K314">
        <v>165.4</v>
      </c>
      <c r="L314">
        <v>122.1</v>
      </c>
      <c r="M314">
        <v>170.8</v>
      </c>
      <c r="N314">
        <v>169.1</v>
      </c>
      <c r="O314">
        <v>174.3</v>
      </c>
      <c r="P314">
        <v>167.5</v>
      </c>
      <c r="Q314">
        <v>191.4</v>
      </c>
      <c r="R314">
        <v>170.4</v>
      </c>
      <c r="S314">
        <v>166</v>
      </c>
      <c r="T314">
        <v>169.8</v>
      </c>
      <c r="U314" t="s">
        <v>32</v>
      </c>
      <c r="V314">
        <v>165.3</v>
      </c>
      <c r="W314">
        <v>162.9</v>
      </c>
      <c r="X314">
        <v>173.4</v>
      </c>
      <c r="Y314">
        <v>158.9</v>
      </c>
      <c r="Z314">
        <v>163.80000000000001</v>
      </c>
      <c r="AA314">
        <v>169.3</v>
      </c>
      <c r="AB314">
        <v>162.4</v>
      </c>
      <c r="AC314">
        <v>165.2</v>
      </c>
      <c r="AD314">
        <v>167.6</v>
      </c>
    </row>
    <row r="315" spans="1:30" x14ac:dyDescent="0.3">
      <c r="A315" t="s">
        <v>33</v>
      </c>
      <c r="B315">
        <v>2021</v>
      </c>
      <c r="C315" t="s">
        <v>45</v>
      </c>
      <c r="D315">
        <v>151</v>
      </c>
      <c r="E315">
        <v>204.9</v>
      </c>
      <c r="F315">
        <v>175.4</v>
      </c>
      <c r="G315">
        <v>159.6</v>
      </c>
      <c r="H315">
        <v>175.8</v>
      </c>
      <c r="I315">
        <v>160.30000000000001</v>
      </c>
      <c r="J315">
        <v>229.1</v>
      </c>
      <c r="K315">
        <v>165.1</v>
      </c>
      <c r="L315">
        <v>123.1</v>
      </c>
      <c r="M315">
        <v>167.2</v>
      </c>
      <c r="N315">
        <v>156.1</v>
      </c>
      <c r="O315">
        <v>176.8</v>
      </c>
      <c r="P315">
        <v>173.5</v>
      </c>
      <c r="Q315">
        <v>197</v>
      </c>
      <c r="R315">
        <v>162.30000000000001</v>
      </c>
      <c r="S315">
        <v>145.30000000000001</v>
      </c>
      <c r="T315">
        <v>159.69999999999999</v>
      </c>
      <c r="U315">
        <v>164.2</v>
      </c>
      <c r="V315">
        <v>161.6</v>
      </c>
      <c r="W315">
        <v>155.19999999999999</v>
      </c>
      <c r="X315">
        <v>164.2</v>
      </c>
      <c r="Y315">
        <v>151.19999999999999</v>
      </c>
      <c r="Z315">
        <v>156.69999999999999</v>
      </c>
      <c r="AA315">
        <v>160.80000000000001</v>
      </c>
      <c r="AB315">
        <v>161.80000000000001</v>
      </c>
      <c r="AC315">
        <v>157.30000000000001</v>
      </c>
      <c r="AD315">
        <v>165.6</v>
      </c>
    </row>
    <row r="316" spans="1:30" x14ac:dyDescent="0.3">
      <c r="A316" t="s">
        <v>34</v>
      </c>
      <c r="B316">
        <v>2021</v>
      </c>
      <c r="C316" t="s">
        <v>45</v>
      </c>
      <c r="D316">
        <v>148.19999999999999</v>
      </c>
      <c r="E316">
        <v>201.6</v>
      </c>
      <c r="F316">
        <v>173</v>
      </c>
      <c r="G316">
        <v>159.30000000000001</v>
      </c>
      <c r="H316">
        <v>190.1</v>
      </c>
      <c r="I316">
        <v>156.5</v>
      </c>
      <c r="J316">
        <v>199.2</v>
      </c>
      <c r="K316">
        <v>165.3</v>
      </c>
      <c r="L316">
        <v>122.4</v>
      </c>
      <c r="M316">
        <v>169.6</v>
      </c>
      <c r="N316">
        <v>163.69999999999999</v>
      </c>
      <c r="O316">
        <v>175.5</v>
      </c>
      <c r="P316">
        <v>169.7</v>
      </c>
      <c r="Q316">
        <v>192.9</v>
      </c>
      <c r="R316">
        <v>167.2</v>
      </c>
      <c r="S316">
        <v>157.4</v>
      </c>
      <c r="T316">
        <v>165.8</v>
      </c>
      <c r="U316">
        <v>164.2</v>
      </c>
      <c r="V316">
        <v>163.9</v>
      </c>
      <c r="W316">
        <v>159.30000000000001</v>
      </c>
      <c r="X316">
        <v>169.9</v>
      </c>
      <c r="Y316">
        <v>154.80000000000001</v>
      </c>
      <c r="Z316">
        <v>159.80000000000001</v>
      </c>
      <c r="AA316">
        <v>164.3</v>
      </c>
      <c r="AB316">
        <v>162.19999999999999</v>
      </c>
      <c r="AC316">
        <v>161.4</v>
      </c>
      <c r="AD316">
        <v>166.7</v>
      </c>
    </row>
    <row r="317" spans="1:30" x14ac:dyDescent="0.3">
      <c r="A317" t="s">
        <v>30</v>
      </c>
      <c r="B317">
        <v>2021</v>
      </c>
      <c r="C317" t="s">
        <v>46</v>
      </c>
      <c r="D317">
        <v>147.4</v>
      </c>
      <c r="E317">
        <v>197</v>
      </c>
      <c r="F317">
        <v>176.5</v>
      </c>
      <c r="G317">
        <v>159.80000000000001</v>
      </c>
      <c r="H317">
        <v>195.8</v>
      </c>
      <c r="I317">
        <v>152</v>
      </c>
      <c r="J317">
        <v>172.3</v>
      </c>
      <c r="K317">
        <v>164.5</v>
      </c>
      <c r="L317">
        <v>120.6</v>
      </c>
      <c r="M317">
        <v>171.7</v>
      </c>
      <c r="N317">
        <v>169.7</v>
      </c>
      <c r="O317">
        <v>175.1</v>
      </c>
      <c r="P317">
        <v>165.8</v>
      </c>
      <c r="Q317">
        <v>190.8</v>
      </c>
      <c r="R317">
        <v>171.8</v>
      </c>
      <c r="S317">
        <v>167.3</v>
      </c>
      <c r="T317">
        <v>171.2</v>
      </c>
      <c r="U317" t="s">
        <v>32</v>
      </c>
      <c r="V317">
        <v>165.6</v>
      </c>
      <c r="W317">
        <v>163.9</v>
      </c>
      <c r="X317">
        <v>174</v>
      </c>
      <c r="Y317">
        <v>160.1</v>
      </c>
      <c r="Z317">
        <v>164.5</v>
      </c>
      <c r="AA317">
        <v>169.7</v>
      </c>
      <c r="AB317">
        <v>162.80000000000001</v>
      </c>
      <c r="AC317">
        <v>166</v>
      </c>
      <c r="AD317">
        <v>167</v>
      </c>
    </row>
    <row r="318" spans="1:30" x14ac:dyDescent="0.3">
      <c r="A318" t="s">
        <v>33</v>
      </c>
      <c r="B318">
        <v>2021</v>
      </c>
      <c r="C318" t="s">
        <v>46</v>
      </c>
      <c r="D318">
        <v>151.6</v>
      </c>
      <c r="E318">
        <v>202.2</v>
      </c>
      <c r="F318">
        <v>180</v>
      </c>
      <c r="G318">
        <v>160</v>
      </c>
      <c r="H318">
        <v>173.5</v>
      </c>
      <c r="I318">
        <v>158.30000000000001</v>
      </c>
      <c r="J318">
        <v>219.5</v>
      </c>
      <c r="K318">
        <v>164.2</v>
      </c>
      <c r="L318">
        <v>121.9</v>
      </c>
      <c r="M318">
        <v>168.2</v>
      </c>
      <c r="N318">
        <v>156.5</v>
      </c>
      <c r="O318">
        <v>178.2</v>
      </c>
      <c r="P318">
        <v>172.2</v>
      </c>
      <c r="Q318">
        <v>196.8</v>
      </c>
      <c r="R318">
        <v>163.30000000000001</v>
      </c>
      <c r="S318">
        <v>146.69999999999999</v>
      </c>
      <c r="T318">
        <v>160.69999999999999</v>
      </c>
      <c r="U318">
        <v>163.4</v>
      </c>
      <c r="V318">
        <v>161.69999999999999</v>
      </c>
      <c r="W318">
        <v>156</v>
      </c>
      <c r="X318">
        <v>165.1</v>
      </c>
      <c r="Y318">
        <v>151.80000000000001</v>
      </c>
      <c r="Z318">
        <v>157.6</v>
      </c>
      <c r="AA318">
        <v>160.6</v>
      </c>
      <c r="AB318">
        <v>162.4</v>
      </c>
      <c r="AC318">
        <v>157.80000000000001</v>
      </c>
      <c r="AD318">
        <v>165.2</v>
      </c>
    </row>
    <row r="319" spans="1:30" x14ac:dyDescent="0.3">
      <c r="A319" t="s">
        <v>34</v>
      </c>
      <c r="B319">
        <v>2021</v>
      </c>
      <c r="C319" t="s">
        <v>46</v>
      </c>
      <c r="D319">
        <v>148.69999999999999</v>
      </c>
      <c r="E319">
        <v>198.8</v>
      </c>
      <c r="F319">
        <v>177.9</v>
      </c>
      <c r="G319">
        <v>159.9</v>
      </c>
      <c r="H319">
        <v>187.6</v>
      </c>
      <c r="I319">
        <v>154.9</v>
      </c>
      <c r="J319">
        <v>188.3</v>
      </c>
      <c r="K319">
        <v>164.4</v>
      </c>
      <c r="L319">
        <v>121</v>
      </c>
      <c r="M319">
        <v>170.5</v>
      </c>
      <c r="N319">
        <v>164.2</v>
      </c>
      <c r="O319">
        <v>176.5</v>
      </c>
      <c r="P319">
        <v>168.2</v>
      </c>
      <c r="Q319">
        <v>192.4</v>
      </c>
      <c r="R319">
        <v>168.5</v>
      </c>
      <c r="S319">
        <v>158.69999999999999</v>
      </c>
      <c r="T319">
        <v>167</v>
      </c>
      <c r="U319">
        <v>163.4</v>
      </c>
      <c r="V319">
        <v>164.1</v>
      </c>
      <c r="W319">
        <v>160.19999999999999</v>
      </c>
      <c r="X319">
        <v>170.6</v>
      </c>
      <c r="Y319">
        <v>155.69999999999999</v>
      </c>
      <c r="Z319">
        <v>160.6</v>
      </c>
      <c r="AA319">
        <v>164.4</v>
      </c>
      <c r="AB319">
        <v>162.6</v>
      </c>
      <c r="AC319">
        <v>162</v>
      </c>
      <c r="AD319">
        <v>166.2</v>
      </c>
    </row>
    <row r="320" spans="1:30" x14ac:dyDescent="0.3">
      <c r="A320" t="s">
        <v>30</v>
      </c>
      <c r="B320">
        <v>2022</v>
      </c>
      <c r="C320" t="s">
        <v>31</v>
      </c>
      <c r="D320">
        <v>148.30000000000001</v>
      </c>
      <c r="E320">
        <v>196.9</v>
      </c>
      <c r="F320">
        <v>178</v>
      </c>
      <c r="G320">
        <v>160.5</v>
      </c>
      <c r="H320">
        <v>192.6</v>
      </c>
      <c r="I320">
        <v>151.19999999999999</v>
      </c>
      <c r="J320">
        <v>159.19999999999999</v>
      </c>
      <c r="K320">
        <v>164</v>
      </c>
      <c r="L320">
        <v>119.3</v>
      </c>
      <c r="M320">
        <v>173.3</v>
      </c>
      <c r="N320">
        <v>169.8</v>
      </c>
      <c r="O320">
        <v>175.8</v>
      </c>
      <c r="P320">
        <v>164.1</v>
      </c>
      <c r="Q320">
        <v>190.7</v>
      </c>
      <c r="R320">
        <v>173.2</v>
      </c>
      <c r="S320">
        <v>169.3</v>
      </c>
      <c r="T320">
        <v>172.7</v>
      </c>
      <c r="U320" t="s">
        <v>32</v>
      </c>
      <c r="V320">
        <v>165.8</v>
      </c>
      <c r="W320">
        <v>164.9</v>
      </c>
      <c r="X320">
        <v>174.7</v>
      </c>
      <c r="Y320">
        <v>160.80000000000001</v>
      </c>
      <c r="Z320">
        <v>164.9</v>
      </c>
      <c r="AA320">
        <v>169.9</v>
      </c>
      <c r="AB320">
        <v>163.19999999999999</v>
      </c>
      <c r="AC320">
        <v>166.6</v>
      </c>
      <c r="AD320">
        <v>166.4</v>
      </c>
    </row>
    <row r="321" spans="1:30" x14ac:dyDescent="0.3">
      <c r="A321" t="s">
        <v>33</v>
      </c>
      <c r="B321">
        <v>2022</v>
      </c>
      <c r="C321" t="s">
        <v>31</v>
      </c>
      <c r="D321">
        <v>152.19999999999999</v>
      </c>
      <c r="E321">
        <v>202.1</v>
      </c>
      <c r="F321">
        <v>180.1</v>
      </c>
      <c r="G321">
        <v>160.4</v>
      </c>
      <c r="H321">
        <v>171</v>
      </c>
      <c r="I321">
        <v>156.5</v>
      </c>
      <c r="J321">
        <v>203.6</v>
      </c>
      <c r="K321">
        <v>163.80000000000001</v>
      </c>
      <c r="L321">
        <v>121.3</v>
      </c>
      <c r="M321">
        <v>169.8</v>
      </c>
      <c r="N321">
        <v>156.6</v>
      </c>
      <c r="O321">
        <v>179</v>
      </c>
      <c r="P321">
        <v>170.3</v>
      </c>
      <c r="Q321">
        <v>196.4</v>
      </c>
      <c r="R321">
        <v>164.7</v>
      </c>
      <c r="S321">
        <v>148.5</v>
      </c>
      <c r="T321">
        <v>162.19999999999999</v>
      </c>
      <c r="U321">
        <v>164.5</v>
      </c>
      <c r="V321">
        <v>161.6</v>
      </c>
      <c r="W321">
        <v>156.80000000000001</v>
      </c>
      <c r="X321">
        <v>166.1</v>
      </c>
      <c r="Y321">
        <v>152.69999999999999</v>
      </c>
      <c r="Z321">
        <v>158.4</v>
      </c>
      <c r="AA321">
        <v>161</v>
      </c>
      <c r="AB321">
        <v>162.80000000000001</v>
      </c>
      <c r="AC321">
        <v>158.6</v>
      </c>
      <c r="AD321">
        <v>165</v>
      </c>
    </row>
    <row r="322" spans="1:30" x14ac:dyDescent="0.3">
      <c r="A322" t="s">
        <v>34</v>
      </c>
      <c r="B322">
        <v>2022</v>
      </c>
      <c r="C322" t="s">
        <v>31</v>
      </c>
      <c r="D322">
        <v>149.5</v>
      </c>
      <c r="E322">
        <v>198.7</v>
      </c>
      <c r="F322">
        <v>178.8</v>
      </c>
      <c r="G322">
        <v>160.5</v>
      </c>
      <c r="H322">
        <v>184.7</v>
      </c>
      <c r="I322">
        <v>153.69999999999999</v>
      </c>
      <c r="J322">
        <v>174.3</v>
      </c>
      <c r="K322">
        <v>163.9</v>
      </c>
      <c r="L322">
        <v>120</v>
      </c>
      <c r="M322">
        <v>172.1</v>
      </c>
      <c r="N322">
        <v>164.3</v>
      </c>
      <c r="O322">
        <v>177.3</v>
      </c>
      <c r="P322">
        <v>166.4</v>
      </c>
      <c r="Q322">
        <v>192.2</v>
      </c>
      <c r="R322">
        <v>169.9</v>
      </c>
      <c r="S322">
        <v>160.69999999999999</v>
      </c>
      <c r="T322">
        <v>168.5</v>
      </c>
      <c r="U322">
        <v>164.5</v>
      </c>
      <c r="V322">
        <v>164.2</v>
      </c>
      <c r="W322">
        <v>161.1</v>
      </c>
      <c r="X322">
        <v>171.4</v>
      </c>
      <c r="Y322">
        <v>156.5</v>
      </c>
      <c r="Z322">
        <v>161.19999999999999</v>
      </c>
      <c r="AA322">
        <v>164.7</v>
      </c>
      <c r="AB322">
        <v>163</v>
      </c>
      <c r="AC322">
        <v>162.69999999999999</v>
      </c>
      <c r="AD322">
        <v>165.7</v>
      </c>
    </row>
    <row r="323" spans="1:30" x14ac:dyDescent="0.3">
      <c r="A323" t="s">
        <v>30</v>
      </c>
      <c r="B323">
        <v>2022</v>
      </c>
      <c r="C323" t="s">
        <v>35</v>
      </c>
      <c r="D323">
        <v>148.80000000000001</v>
      </c>
      <c r="E323">
        <v>198.1</v>
      </c>
      <c r="F323">
        <v>175.5</v>
      </c>
      <c r="G323">
        <v>160.69999999999999</v>
      </c>
      <c r="H323">
        <v>192.6</v>
      </c>
      <c r="I323">
        <v>151.4</v>
      </c>
      <c r="J323">
        <v>155.19999999999999</v>
      </c>
      <c r="K323">
        <v>163.9</v>
      </c>
      <c r="L323">
        <v>118.1</v>
      </c>
      <c r="M323">
        <v>175.4</v>
      </c>
      <c r="N323">
        <v>170.5</v>
      </c>
      <c r="O323">
        <v>176.3</v>
      </c>
      <c r="P323">
        <v>163.9</v>
      </c>
      <c r="Q323">
        <v>191.5</v>
      </c>
      <c r="R323">
        <v>174.1</v>
      </c>
      <c r="S323">
        <v>171</v>
      </c>
      <c r="T323">
        <v>173.7</v>
      </c>
      <c r="U323" t="s">
        <v>32</v>
      </c>
      <c r="V323">
        <v>167.4</v>
      </c>
      <c r="W323">
        <v>165.7</v>
      </c>
      <c r="X323">
        <v>175.3</v>
      </c>
      <c r="Y323">
        <v>161.19999999999999</v>
      </c>
      <c r="Z323">
        <v>165.5</v>
      </c>
      <c r="AA323">
        <v>170.3</v>
      </c>
      <c r="AB323">
        <v>164.5</v>
      </c>
      <c r="AC323">
        <v>167.3</v>
      </c>
      <c r="AD323">
        <v>166.7</v>
      </c>
    </row>
    <row r="324" spans="1:30" x14ac:dyDescent="0.3">
      <c r="A324" t="s">
        <v>33</v>
      </c>
      <c r="B324">
        <v>2022</v>
      </c>
      <c r="C324" t="s">
        <v>35</v>
      </c>
      <c r="D324">
        <v>152.5</v>
      </c>
      <c r="E324">
        <v>205.2</v>
      </c>
      <c r="F324">
        <v>176.4</v>
      </c>
      <c r="G324">
        <v>160.6</v>
      </c>
      <c r="H324">
        <v>171.5</v>
      </c>
      <c r="I324">
        <v>156.4</v>
      </c>
      <c r="J324">
        <v>198</v>
      </c>
      <c r="K324">
        <v>163.19999999999999</v>
      </c>
      <c r="L324">
        <v>120.6</v>
      </c>
      <c r="M324">
        <v>172.2</v>
      </c>
      <c r="N324">
        <v>156.69999999999999</v>
      </c>
      <c r="O324">
        <v>180</v>
      </c>
      <c r="P324">
        <v>170.2</v>
      </c>
      <c r="Q324">
        <v>196.5</v>
      </c>
      <c r="R324">
        <v>165.7</v>
      </c>
      <c r="S324">
        <v>150.4</v>
      </c>
      <c r="T324">
        <v>163.4</v>
      </c>
      <c r="U324">
        <v>165.5</v>
      </c>
      <c r="V324">
        <v>163</v>
      </c>
      <c r="W324">
        <v>157.4</v>
      </c>
      <c r="X324">
        <v>167.2</v>
      </c>
      <c r="Y324">
        <v>153.1</v>
      </c>
      <c r="Z324">
        <v>159.5</v>
      </c>
      <c r="AA324">
        <v>162</v>
      </c>
      <c r="AB324">
        <v>164.2</v>
      </c>
      <c r="AC324">
        <v>159.4</v>
      </c>
      <c r="AD324">
        <v>165.5</v>
      </c>
    </row>
    <row r="325" spans="1:30" x14ac:dyDescent="0.3">
      <c r="A325" t="s">
        <v>34</v>
      </c>
      <c r="B325">
        <v>2022</v>
      </c>
      <c r="C325" t="s">
        <v>35</v>
      </c>
      <c r="D325">
        <v>150</v>
      </c>
      <c r="E325">
        <v>200.6</v>
      </c>
      <c r="F325">
        <v>175.8</v>
      </c>
      <c r="G325">
        <v>160.69999999999999</v>
      </c>
      <c r="H325">
        <v>184.9</v>
      </c>
      <c r="I325">
        <v>153.69999999999999</v>
      </c>
      <c r="J325">
        <v>169.7</v>
      </c>
      <c r="K325">
        <v>163.69999999999999</v>
      </c>
      <c r="L325">
        <v>118.9</v>
      </c>
      <c r="M325">
        <v>174.3</v>
      </c>
      <c r="N325">
        <v>164.7</v>
      </c>
      <c r="O325">
        <v>178</v>
      </c>
      <c r="P325">
        <v>166.2</v>
      </c>
      <c r="Q325">
        <v>192.8</v>
      </c>
      <c r="R325">
        <v>170.8</v>
      </c>
      <c r="S325">
        <v>162.4</v>
      </c>
      <c r="T325">
        <v>169.6</v>
      </c>
      <c r="U325">
        <v>165.5</v>
      </c>
      <c r="V325">
        <v>165.7</v>
      </c>
      <c r="W325">
        <v>161.80000000000001</v>
      </c>
      <c r="X325">
        <v>172.2</v>
      </c>
      <c r="Y325">
        <v>156.9</v>
      </c>
      <c r="Z325">
        <v>162.1</v>
      </c>
      <c r="AA325">
        <v>165.4</v>
      </c>
      <c r="AB325">
        <v>164.4</v>
      </c>
      <c r="AC325">
        <v>163.5</v>
      </c>
      <c r="AD325">
        <v>166.1</v>
      </c>
    </row>
    <row r="326" spans="1:30" x14ac:dyDescent="0.3">
      <c r="A326" t="s">
        <v>30</v>
      </c>
      <c r="B326">
        <v>2022</v>
      </c>
      <c r="C326" t="s">
        <v>36</v>
      </c>
      <c r="D326">
        <v>150.19999999999999</v>
      </c>
      <c r="E326">
        <v>208</v>
      </c>
      <c r="F326">
        <v>167.9</v>
      </c>
      <c r="G326">
        <v>162</v>
      </c>
      <c r="H326">
        <v>203.1</v>
      </c>
      <c r="I326">
        <v>155.9</v>
      </c>
      <c r="J326">
        <v>155.80000000000001</v>
      </c>
      <c r="K326">
        <v>164.2</v>
      </c>
      <c r="L326">
        <v>118.1</v>
      </c>
      <c r="M326">
        <v>178.7</v>
      </c>
      <c r="N326">
        <v>171.2</v>
      </c>
      <c r="O326">
        <v>177.4</v>
      </c>
      <c r="P326">
        <v>166.6</v>
      </c>
      <c r="Q326">
        <v>192.3</v>
      </c>
      <c r="R326">
        <v>175.4</v>
      </c>
      <c r="S326">
        <v>173.2</v>
      </c>
      <c r="T326">
        <v>175.1</v>
      </c>
      <c r="U326" t="s">
        <v>32</v>
      </c>
      <c r="V326">
        <v>168.9</v>
      </c>
      <c r="W326">
        <v>166.5</v>
      </c>
      <c r="X326">
        <v>176</v>
      </c>
      <c r="Y326">
        <v>162</v>
      </c>
      <c r="Z326">
        <v>166.6</v>
      </c>
      <c r="AA326">
        <v>170.6</v>
      </c>
      <c r="AB326">
        <v>167.4</v>
      </c>
      <c r="AC326">
        <v>168.3</v>
      </c>
      <c r="AD326">
        <v>168.7</v>
      </c>
    </row>
    <row r="327" spans="1:30" x14ac:dyDescent="0.3">
      <c r="A327" t="s">
        <v>33</v>
      </c>
      <c r="B327">
        <v>2022</v>
      </c>
      <c r="C327" t="s">
        <v>36</v>
      </c>
      <c r="D327">
        <v>153.69999999999999</v>
      </c>
      <c r="E327">
        <v>215.8</v>
      </c>
      <c r="F327">
        <v>167.7</v>
      </c>
      <c r="G327">
        <v>162.6</v>
      </c>
      <c r="H327">
        <v>180</v>
      </c>
      <c r="I327">
        <v>159.6</v>
      </c>
      <c r="J327">
        <v>188.4</v>
      </c>
      <c r="K327">
        <v>163.4</v>
      </c>
      <c r="L327">
        <v>120.3</v>
      </c>
      <c r="M327">
        <v>174.7</v>
      </c>
      <c r="N327">
        <v>157.1</v>
      </c>
      <c r="O327">
        <v>181.5</v>
      </c>
      <c r="P327">
        <v>171.5</v>
      </c>
      <c r="Q327">
        <v>197.5</v>
      </c>
      <c r="R327">
        <v>167.1</v>
      </c>
      <c r="S327">
        <v>152.6</v>
      </c>
      <c r="T327">
        <v>164.9</v>
      </c>
      <c r="U327">
        <v>165.3</v>
      </c>
      <c r="V327">
        <v>164.5</v>
      </c>
      <c r="W327">
        <v>158.6</v>
      </c>
      <c r="X327">
        <v>168.2</v>
      </c>
      <c r="Y327">
        <v>154.19999999999999</v>
      </c>
      <c r="Z327">
        <v>160.80000000000001</v>
      </c>
      <c r="AA327">
        <v>162.69999999999999</v>
      </c>
      <c r="AB327">
        <v>166.8</v>
      </c>
      <c r="AC327">
        <v>160.6</v>
      </c>
      <c r="AD327">
        <v>166.5</v>
      </c>
    </row>
    <row r="328" spans="1:30" x14ac:dyDescent="0.3">
      <c r="A328" t="s">
        <v>34</v>
      </c>
      <c r="B328">
        <v>2022</v>
      </c>
      <c r="C328" t="s">
        <v>36</v>
      </c>
      <c r="D328">
        <v>151.30000000000001</v>
      </c>
      <c r="E328">
        <v>210.7</v>
      </c>
      <c r="F328">
        <v>167.8</v>
      </c>
      <c r="G328">
        <v>162.19999999999999</v>
      </c>
      <c r="H328">
        <v>194.6</v>
      </c>
      <c r="I328">
        <v>157.6</v>
      </c>
      <c r="J328">
        <v>166.9</v>
      </c>
      <c r="K328">
        <v>163.9</v>
      </c>
      <c r="L328">
        <v>118.8</v>
      </c>
      <c r="M328">
        <v>177.4</v>
      </c>
      <c r="N328">
        <v>165.3</v>
      </c>
      <c r="O328">
        <v>179.3</v>
      </c>
      <c r="P328">
        <v>168.4</v>
      </c>
      <c r="Q328">
        <v>193.7</v>
      </c>
      <c r="R328">
        <v>172.1</v>
      </c>
      <c r="S328">
        <v>164.6</v>
      </c>
      <c r="T328">
        <v>171.1</v>
      </c>
      <c r="U328">
        <v>165.3</v>
      </c>
      <c r="V328">
        <v>167.2</v>
      </c>
      <c r="W328">
        <v>162.80000000000001</v>
      </c>
      <c r="X328">
        <v>173</v>
      </c>
      <c r="Y328">
        <v>157.9</v>
      </c>
      <c r="Z328">
        <v>163.30000000000001</v>
      </c>
      <c r="AA328">
        <v>166</v>
      </c>
      <c r="AB328">
        <v>167.2</v>
      </c>
      <c r="AC328">
        <v>164.6</v>
      </c>
      <c r="AD328">
        <v>167.7</v>
      </c>
    </row>
    <row r="329" spans="1:30" x14ac:dyDescent="0.3">
      <c r="A329" t="s">
        <v>30</v>
      </c>
      <c r="B329">
        <v>2022</v>
      </c>
      <c r="C329" t="s">
        <v>37</v>
      </c>
      <c r="D329">
        <v>151.80000000000001</v>
      </c>
      <c r="E329">
        <v>209.7</v>
      </c>
      <c r="F329">
        <v>164.5</v>
      </c>
      <c r="G329">
        <v>163.80000000000001</v>
      </c>
      <c r="H329">
        <v>207.4</v>
      </c>
      <c r="I329">
        <v>169.7</v>
      </c>
      <c r="J329">
        <v>153.6</v>
      </c>
      <c r="K329">
        <v>165.1</v>
      </c>
      <c r="L329">
        <v>118.2</v>
      </c>
      <c r="M329">
        <v>182.9</v>
      </c>
      <c r="N329">
        <v>172.4</v>
      </c>
      <c r="O329">
        <v>178.9</v>
      </c>
      <c r="P329">
        <v>168.6</v>
      </c>
      <c r="Q329">
        <v>192.8</v>
      </c>
      <c r="R329">
        <v>177.5</v>
      </c>
      <c r="S329">
        <v>175.1</v>
      </c>
      <c r="T329">
        <v>177.1</v>
      </c>
      <c r="U329" t="s">
        <v>32</v>
      </c>
      <c r="V329">
        <v>173.3</v>
      </c>
      <c r="W329">
        <v>167.7</v>
      </c>
      <c r="X329">
        <v>177</v>
      </c>
      <c r="Y329">
        <v>166.2</v>
      </c>
      <c r="Z329">
        <v>167.2</v>
      </c>
      <c r="AA329">
        <v>170.9</v>
      </c>
      <c r="AB329">
        <v>169</v>
      </c>
      <c r="AC329">
        <v>170.2</v>
      </c>
      <c r="AD329">
        <v>170.8</v>
      </c>
    </row>
    <row r="330" spans="1:30" x14ac:dyDescent="0.3">
      <c r="A330" t="s">
        <v>33</v>
      </c>
      <c r="B330">
        <v>2022</v>
      </c>
      <c r="C330" t="s">
        <v>37</v>
      </c>
      <c r="D330">
        <v>155.4</v>
      </c>
      <c r="E330">
        <v>215.8</v>
      </c>
      <c r="F330">
        <v>164.6</v>
      </c>
      <c r="G330">
        <v>164.2</v>
      </c>
      <c r="H330">
        <v>186</v>
      </c>
      <c r="I330">
        <v>175.9</v>
      </c>
      <c r="J330">
        <v>190.7</v>
      </c>
      <c r="K330">
        <v>164</v>
      </c>
      <c r="L330">
        <v>120.5</v>
      </c>
      <c r="M330">
        <v>178</v>
      </c>
      <c r="N330">
        <v>157.5</v>
      </c>
      <c r="O330">
        <v>183.3</v>
      </c>
      <c r="P330">
        <v>174.5</v>
      </c>
      <c r="Q330">
        <v>197.1</v>
      </c>
      <c r="R330">
        <v>168.4</v>
      </c>
      <c r="S330">
        <v>154.5</v>
      </c>
      <c r="T330">
        <v>166.3</v>
      </c>
      <c r="U330">
        <v>167</v>
      </c>
      <c r="V330">
        <v>170.5</v>
      </c>
      <c r="W330">
        <v>159.80000000000001</v>
      </c>
      <c r="X330">
        <v>169</v>
      </c>
      <c r="Y330">
        <v>159.30000000000001</v>
      </c>
      <c r="Z330">
        <v>162.19999999999999</v>
      </c>
      <c r="AA330">
        <v>164</v>
      </c>
      <c r="AB330">
        <v>168.4</v>
      </c>
      <c r="AC330">
        <v>163.1</v>
      </c>
      <c r="AD330">
        <v>169.2</v>
      </c>
    </row>
    <row r="331" spans="1:30" x14ac:dyDescent="0.3">
      <c r="A331" t="s">
        <v>34</v>
      </c>
      <c r="B331">
        <v>2022</v>
      </c>
      <c r="C331" t="s">
        <v>37</v>
      </c>
      <c r="D331">
        <v>152.9</v>
      </c>
      <c r="E331">
        <v>211.8</v>
      </c>
      <c r="F331">
        <v>164.5</v>
      </c>
      <c r="G331">
        <v>163.9</v>
      </c>
      <c r="H331">
        <v>199.5</v>
      </c>
      <c r="I331">
        <v>172.6</v>
      </c>
      <c r="J331">
        <v>166.2</v>
      </c>
      <c r="K331">
        <v>164.7</v>
      </c>
      <c r="L331">
        <v>119</v>
      </c>
      <c r="M331">
        <v>181.3</v>
      </c>
      <c r="N331">
        <v>166.2</v>
      </c>
      <c r="O331">
        <v>180.9</v>
      </c>
      <c r="P331">
        <v>170.8</v>
      </c>
      <c r="Q331">
        <v>193.9</v>
      </c>
      <c r="R331">
        <v>173.9</v>
      </c>
      <c r="S331">
        <v>166.5</v>
      </c>
      <c r="T331">
        <v>172.8</v>
      </c>
      <c r="U331">
        <v>167</v>
      </c>
      <c r="V331">
        <v>172.2</v>
      </c>
      <c r="W331">
        <v>164</v>
      </c>
      <c r="X331">
        <v>174</v>
      </c>
      <c r="Y331">
        <v>162.6</v>
      </c>
      <c r="Z331">
        <v>164.4</v>
      </c>
      <c r="AA331">
        <v>166.9</v>
      </c>
      <c r="AB331">
        <v>168.8</v>
      </c>
      <c r="AC331">
        <v>166.8</v>
      </c>
      <c r="AD331">
        <v>170.1</v>
      </c>
    </row>
    <row r="332" spans="1:30" x14ac:dyDescent="0.3">
      <c r="A332" t="s">
        <v>30</v>
      </c>
      <c r="B332">
        <v>2022</v>
      </c>
      <c r="C332" t="s">
        <v>38</v>
      </c>
      <c r="D332">
        <v>152.9</v>
      </c>
      <c r="E332">
        <v>214.7</v>
      </c>
      <c r="F332">
        <v>161.4</v>
      </c>
      <c r="G332">
        <v>164.6</v>
      </c>
      <c r="H332">
        <v>209.9</v>
      </c>
      <c r="I332">
        <v>168</v>
      </c>
      <c r="J332">
        <v>160.4</v>
      </c>
      <c r="K332">
        <v>165</v>
      </c>
      <c r="L332">
        <v>118.9</v>
      </c>
      <c r="M332">
        <v>186.6</v>
      </c>
      <c r="N332">
        <v>173.2</v>
      </c>
      <c r="O332">
        <v>180.4</v>
      </c>
      <c r="P332">
        <v>170.8</v>
      </c>
      <c r="Q332">
        <v>192.9</v>
      </c>
      <c r="R332">
        <v>179.3</v>
      </c>
      <c r="S332">
        <v>177.2</v>
      </c>
      <c r="T332">
        <v>179</v>
      </c>
      <c r="U332" t="s">
        <v>32</v>
      </c>
      <c r="V332">
        <v>175.3</v>
      </c>
      <c r="W332">
        <v>168.9</v>
      </c>
      <c r="X332">
        <v>177.7</v>
      </c>
      <c r="Y332">
        <v>167.1</v>
      </c>
      <c r="Z332">
        <v>167.6</v>
      </c>
      <c r="AA332">
        <v>171.8</v>
      </c>
      <c r="AB332">
        <v>168.5</v>
      </c>
      <c r="AC332">
        <v>170.9</v>
      </c>
      <c r="AD332">
        <v>172.5</v>
      </c>
    </row>
    <row r="333" spans="1:30" x14ac:dyDescent="0.3">
      <c r="A333" t="s">
        <v>33</v>
      </c>
      <c r="B333">
        <v>2022</v>
      </c>
      <c r="C333" t="s">
        <v>38</v>
      </c>
      <c r="D333">
        <v>156.69999999999999</v>
      </c>
      <c r="E333">
        <v>221.2</v>
      </c>
      <c r="F333">
        <v>164.1</v>
      </c>
      <c r="G333">
        <v>165.4</v>
      </c>
      <c r="H333">
        <v>189.5</v>
      </c>
      <c r="I333">
        <v>174.5</v>
      </c>
      <c r="J333">
        <v>203.2</v>
      </c>
      <c r="K333">
        <v>164.1</v>
      </c>
      <c r="L333">
        <v>121.2</v>
      </c>
      <c r="M333">
        <v>181.4</v>
      </c>
      <c r="N333">
        <v>158.5</v>
      </c>
      <c r="O333">
        <v>184.9</v>
      </c>
      <c r="P333">
        <v>177.5</v>
      </c>
      <c r="Q333">
        <v>197.5</v>
      </c>
      <c r="R333">
        <v>170</v>
      </c>
      <c r="S333">
        <v>155.9</v>
      </c>
      <c r="T333">
        <v>167.8</v>
      </c>
      <c r="U333">
        <v>167.5</v>
      </c>
      <c r="V333">
        <v>173.5</v>
      </c>
      <c r="W333">
        <v>161.1</v>
      </c>
      <c r="X333">
        <v>170.1</v>
      </c>
      <c r="Y333">
        <v>159.4</v>
      </c>
      <c r="Z333">
        <v>163.19999999999999</v>
      </c>
      <c r="AA333">
        <v>165.2</v>
      </c>
      <c r="AB333">
        <v>168.2</v>
      </c>
      <c r="AC333">
        <v>163.80000000000001</v>
      </c>
      <c r="AD333">
        <v>170.8</v>
      </c>
    </row>
    <row r="334" spans="1:30" x14ac:dyDescent="0.3">
      <c r="A334" t="s">
        <v>34</v>
      </c>
      <c r="B334">
        <v>2022</v>
      </c>
      <c r="C334" t="s">
        <v>38</v>
      </c>
      <c r="D334">
        <v>154.1</v>
      </c>
      <c r="E334">
        <v>217</v>
      </c>
      <c r="F334">
        <v>162.4</v>
      </c>
      <c r="G334">
        <v>164.9</v>
      </c>
      <c r="H334">
        <v>202.4</v>
      </c>
      <c r="I334">
        <v>171</v>
      </c>
      <c r="J334">
        <v>174.9</v>
      </c>
      <c r="K334">
        <v>164.7</v>
      </c>
      <c r="L334">
        <v>119.7</v>
      </c>
      <c r="M334">
        <v>184.9</v>
      </c>
      <c r="N334">
        <v>167.1</v>
      </c>
      <c r="O334">
        <v>182.5</v>
      </c>
      <c r="P334">
        <v>173.3</v>
      </c>
      <c r="Q334">
        <v>194.1</v>
      </c>
      <c r="R334">
        <v>175.6</v>
      </c>
      <c r="S334">
        <v>168.4</v>
      </c>
      <c r="T334">
        <v>174.6</v>
      </c>
      <c r="U334">
        <v>167.5</v>
      </c>
      <c r="V334">
        <v>174.6</v>
      </c>
      <c r="W334">
        <v>165.2</v>
      </c>
      <c r="X334">
        <v>174.8</v>
      </c>
      <c r="Y334">
        <v>163</v>
      </c>
      <c r="Z334">
        <v>165.1</v>
      </c>
      <c r="AA334">
        <v>167.9</v>
      </c>
      <c r="AB334">
        <v>168.4</v>
      </c>
      <c r="AC334">
        <v>167.5</v>
      </c>
      <c r="AD334">
        <v>171.7</v>
      </c>
    </row>
    <row r="335" spans="1:30" x14ac:dyDescent="0.3">
      <c r="A335" t="s">
        <v>30</v>
      </c>
      <c r="B335">
        <v>2022</v>
      </c>
      <c r="C335" t="s">
        <v>39</v>
      </c>
      <c r="D335">
        <v>153.80000000000001</v>
      </c>
      <c r="E335">
        <v>217.2</v>
      </c>
      <c r="F335">
        <v>169.6</v>
      </c>
      <c r="G335">
        <v>165.4</v>
      </c>
      <c r="H335">
        <v>208.1</v>
      </c>
      <c r="I335">
        <v>165.8</v>
      </c>
      <c r="J335">
        <v>167.3</v>
      </c>
      <c r="K335">
        <v>164.6</v>
      </c>
      <c r="L335">
        <v>119.1</v>
      </c>
      <c r="M335">
        <v>188.9</v>
      </c>
      <c r="N335">
        <v>174.2</v>
      </c>
      <c r="O335">
        <v>181.9</v>
      </c>
      <c r="P335">
        <v>172.4</v>
      </c>
      <c r="Q335">
        <v>192.9</v>
      </c>
      <c r="R335">
        <v>180.7</v>
      </c>
      <c r="S335">
        <v>178.7</v>
      </c>
      <c r="T335">
        <v>180.4</v>
      </c>
      <c r="U335" t="s">
        <v>32</v>
      </c>
      <c r="V335">
        <v>176.7</v>
      </c>
      <c r="W335">
        <v>170.3</v>
      </c>
      <c r="X335">
        <v>178.2</v>
      </c>
      <c r="Y335">
        <v>165.5</v>
      </c>
      <c r="Z335">
        <v>168</v>
      </c>
      <c r="AA335">
        <v>172.6</v>
      </c>
      <c r="AB335">
        <v>169.5</v>
      </c>
      <c r="AC335">
        <v>171</v>
      </c>
      <c r="AD335">
        <v>173.6</v>
      </c>
    </row>
    <row r="336" spans="1:30" x14ac:dyDescent="0.3">
      <c r="A336" t="s">
        <v>33</v>
      </c>
      <c r="B336">
        <v>2022</v>
      </c>
      <c r="C336" t="s">
        <v>39</v>
      </c>
      <c r="D336">
        <v>157.5</v>
      </c>
      <c r="E336">
        <v>223.4</v>
      </c>
      <c r="F336">
        <v>172.8</v>
      </c>
      <c r="G336">
        <v>166.4</v>
      </c>
      <c r="H336">
        <v>188.6</v>
      </c>
      <c r="I336">
        <v>174.1</v>
      </c>
      <c r="J336">
        <v>211.5</v>
      </c>
      <c r="K336">
        <v>163.6</v>
      </c>
      <c r="L336">
        <v>121.4</v>
      </c>
      <c r="M336">
        <v>183.5</v>
      </c>
      <c r="N336">
        <v>159.1</v>
      </c>
      <c r="O336">
        <v>186.3</v>
      </c>
      <c r="P336">
        <v>179.3</v>
      </c>
      <c r="Q336">
        <v>198.3</v>
      </c>
      <c r="R336">
        <v>171.6</v>
      </c>
      <c r="S336">
        <v>157.4</v>
      </c>
      <c r="T336">
        <v>169.4</v>
      </c>
      <c r="U336">
        <v>166.8</v>
      </c>
      <c r="V336">
        <v>174.9</v>
      </c>
      <c r="W336">
        <v>162.1</v>
      </c>
      <c r="X336">
        <v>170.9</v>
      </c>
      <c r="Y336">
        <v>157.19999999999999</v>
      </c>
      <c r="Z336">
        <v>164.1</v>
      </c>
      <c r="AA336">
        <v>166.5</v>
      </c>
      <c r="AB336">
        <v>169.2</v>
      </c>
      <c r="AC336">
        <v>163.80000000000001</v>
      </c>
      <c r="AD336">
        <v>171.4</v>
      </c>
    </row>
    <row r="337" spans="1:30" x14ac:dyDescent="0.3">
      <c r="A337" t="s">
        <v>34</v>
      </c>
      <c r="B337">
        <v>2022</v>
      </c>
      <c r="C337" t="s">
        <v>39</v>
      </c>
      <c r="D337">
        <v>155</v>
      </c>
      <c r="E337">
        <v>219.4</v>
      </c>
      <c r="F337">
        <v>170.8</v>
      </c>
      <c r="G337">
        <v>165.8</v>
      </c>
      <c r="H337">
        <v>200.9</v>
      </c>
      <c r="I337">
        <v>169.7</v>
      </c>
      <c r="J337">
        <v>182.3</v>
      </c>
      <c r="K337">
        <v>164.3</v>
      </c>
      <c r="L337">
        <v>119.9</v>
      </c>
      <c r="M337">
        <v>187.1</v>
      </c>
      <c r="N337">
        <v>167.9</v>
      </c>
      <c r="O337">
        <v>183.9</v>
      </c>
      <c r="P337">
        <v>174.9</v>
      </c>
      <c r="Q337">
        <v>194.3</v>
      </c>
      <c r="R337">
        <v>177.1</v>
      </c>
      <c r="S337">
        <v>169.9</v>
      </c>
      <c r="T337">
        <v>176</v>
      </c>
      <c r="U337">
        <v>166.8</v>
      </c>
      <c r="V337">
        <v>176</v>
      </c>
      <c r="W337">
        <v>166.4</v>
      </c>
      <c r="X337">
        <v>175.4</v>
      </c>
      <c r="Y337">
        <v>161.1</v>
      </c>
      <c r="Z337">
        <v>165.8</v>
      </c>
      <c r="AA337">
        <v>169</v>
      </c>
      <c r="AB337">
        <v>169.4</v>
      </c>
      <c r="AC337">
        <v>167.5</v>
      </c>
      <c r="AD337">
        <v>172.6</v>
      </c>
    </row>
    <row r="338" spans="1:30" x14ac:dyDescent="0.3">
      <c r="A338" t="s">
        <v>30</v>
      </c>
      <c r="B338">
        <v>2022</v>
      </c>
      <c r="C338" t="s">
        <v>40</v>
      </c>
      <c r="D338">
        <v>155.19999999999999</v>
      </c>
      <c r="E338">
        <v>210.8</v>
      </c>
      <c r="F338">
        <v>174.3</v>
      </c>
      <c r="G338">
        <v>166.3</v>
      </c>
      <c r="H338">
        <v>202.2</v>
      </c>
      <c r="I338">
        <v>169.6</v>
      </c>
      <c r="J338">
        <v>168.6</v>
      </c>
      <c r="K338">
        <v>164.4</v>
      </c>
      <c r="L338">
        <v>119.2</v>
      </c>
      <c r="M338">
        <v>191.8</v>
      </c>
      <c r="N338">
        <v>174.5</v>
      </c>
      <c r="O338">
        <v>183.1</v>
      </c>
      <c r="P338">
        <v>172.5</v>
      </c>
      <c r="Q338">
        <v>193.2</v>
      </c>
      <c r="R338">
        <v>182</v>
      </c>
      <c r="S338">
        <v>180.3</v>
      </c>
      <c r="T338">
        <v>181.7</v>
      </c>
      <c r="U338" t="s">
        <v>32</v>
      </c>
      <c r="V338">
        <v>179.6</v>
      </c>
      <c r="W338">
        <v>171.3</v>
      </c>
      <c r="X338">
        <v>178.8</v>
      </c>
      <c r="Y338">
        <v>166.3</v>
      </c>
      <c r="Z338">
        <v>168.6</v>
      </c>
      <c r="AA338">
        <v>174.7</v>
      </c>
      <c r="AB338">
        <v>169.7</v>
      </c>
      <c r="AC338">
        <v>171.8</v>
      </c>
      <c r="AD338">
        <v>174.3</v>
      </c>
    </row>
    <row r="339" spans="1:30" x14ac:dyDescent="0.3">
      <c r="A339" t="s">
        <v>33</v>
      </c>
      <c r="B339">
        <v>2022</v>
      </c>
      <c r="C339" t="s">
        <v>40</v>
      </c>
      <c r="D339">
        <v>159.30000000000001</v>
      </c>
      <c r="E339">
        <v>217.1</v>
      </c>
      <c r="F339">
        <v>176.6</v>
      </c>
      <c r="G339">
        <v>167.1</v>
      </c>
      <c r="H339">
        <v>184.8</v>
      </c>
      <c r="I339">
        <v>179.5</v>
      </c>
      <c r="J339">
        <v>208.5</v>
      </c>
      <c r="K339">
        <v>164</v>
      </c>
      <c r="L339">
        <v>121.5</v>
      </c>
      <c r="M339">
        <v>186.3</v>
      </c>
      <c r="N339">
        <v>159.80000000000001</v>
      </c>
      <c r="O339">
        <v>187.7</v>
      </c>
      <c r="P339">
        <v>179.4</v>
      </c>
      <c r="Q339">
        <v>198.6</v>
      </c>
      <c r="R339">
        <v>172.7</v>
      </c>
      <c r="S339">
        <v>158.69999999999999</v>
      </c>
      <c r="T339">
        <v>170.6</v>
      </c>
      <c r="U339">
        <v>167.8</v>
      </c>
      <c r="V339">
        <v>179.5</v>
      </c>
      <c r="W339">
        <v>163.1</v>
      </c>
      <c r="X339">
        <v>171.7</v>
      </c>
      <c r="Y339">
        <v>157.4</v>
      </c>
      <c r="Z339">
        <v>164.6</v>
      </c>
      <c r="AA339">
        <v>169.1</v>
      </c>
      <c r="AB339">
        <v>169.8</v>
      </c>
      <c r="AC339">
        <v>164.7</v>
      </c>
      <c r="AD339">
        <v>172.3</v>
      </c>
    </row>
    <row r="340" spans="1:30" x14ac:dyDescent="0.3">
      <c r="A340" t="s">
        <v>34</v>
      </c>
      <c r="B340">
        <v>2022</v>
      </c>
      <c r="C340" t="s">
        <v>40</v>
      </c>
      <c r="D340">
        <v>156.5</v>
      </c>
      <c r="E340">
        <v>213</v>
      </c>
      <c r="F340">
        <v>175.2</v>
      </c>
      <c r="G340">
        <v>166.6</v>
      </c>
      <c r="H340">
        <v>195.8</v>
      </c>
      <c r="I340">
        <v>174.2</v>
      </c>
      <c r="J340">
        <v>182.1</v>
      </c>
      <c r="K340">
        <v>164.3</v>
      </c>
      <c r="L340">
        <v>120</v>
      </c>
      <c r="M340">
        <v>190</v>
      </c>
      <c r="N340">
        <v>168.4</v>
      </c>
      <c r="O340">
        <v>185.2</v>
      </c>
      <c r="P340">
        <v>175</v>
      </c>
      <c r="Q340">
        <v>194.6</v>
      </c>
      <c r="R340">
        <v>178.3</v>
      </c>
      <c r="S340">
        <v>171.3</v>
      </c>
      <c r="T340">
        <v>177.3</v>
      </c>
      <c r="U340">
        <v>167.8</v>
      </c>
      <c r="V340">
        <v>179.6</v>
      </c>
      <c r="W340">
        <v>167.4</v>
      </c>
      <c r="X340">
        <v>176.1</v>
      </c>
      <c r="Y340">
        <v>161.6</v>
      </c>
      <c r="Z340">
        <v>166.3</v>
      </c>
      <c r="AA340">
        <v>171.4</v>
      </c>
      <c r="AB340">
        <v>169.7</v>
      </c>
      <c r="AC340">
        <v>168.4</v>
      </c>
      <c r="AD340">
        <v>173.4</v>
      </c>
    </row>
    <row r="341" spans="1:30" x14ac:dyDescent="0.3">
      <c r="A341" t="s">
        <v>30</v>
      </c>
      <c r="B341">
        <v>2022</v>
      </c>
      <c r="C341" t="s">
        <v>41</v>
      </c>
      <c r="D341">
        <v>159.5</v>
      </c>
      <c r="E341">
        <v>204.1</v>
      </c>
      <c r="F341">
        <v>168.3</v>
      </c>
      <c r="G341">
        <v>167.9</v>
      </c>
      <c r="H341">
        <v>198.1</v>
      </c>
      <c r="I341">
        <v>169.2</v>
      </c>
      <c r="J341">
        <v>173.1</v>
      </c>
      <c r="K341">
        <v>167.1</v>
      </c>
      <c r="L341">
        <v>120.2</v>
      </c>
      <c r="M341">
        <v>195.6</v>
      </c>
      <c r="N341">
        <v>174.8</v>
      </c>
      <c r="O341">
        <v>184</v>
      </c>
      <c r="P341">
        <v>173.9</v>
      </c>
      <c r="Q341">
        <v>193.7</v>
      </c>
      <c r="R341">
        <v>183.2</v>
      </c>
      <c r="S341">
        <v>181.7</v>
      </c>
      <c r="T341">
        <v>183</v>
      </c>
      <c r="U341" t="s">
        <v>32</v>
      </c>
      <c r="V341">
        <v>179.1</v>
      </c>
      <c r="W341">
        <v>172.3</v>
      </c>
      <c r="X341">
        <v>179.4</v>
      </c>
      <c r="Y341">
        <v>166.6</v>
      </c>
      <c r="Z341">
        <v>169.3</v>
      </c>
      <c r="AA341">
        <v>175.7</v>
      </c>
      <c r="AB341">
        <v>171.1</v>
      </c>
      <c r="AC341">
        <v>172.6</v>
      </c>
      <c r="AD341">
        <v>175.3</v>
      </c>
    </row>
    <row r="342" spans="1:30" x14ac:dyDescent="0.3">
      <c r="A342" t="s">
        <v>33</v>
      </c>
      <c r="B342">
        <v>2022</v>
      </c>
      <c r="C342" t="s">
        <v>41</v>
      </c>
      <c r="D342">
        <v>162.1</v>
      </c>
      <c r="E342">
        <v>210.9</v>
      </c>
      <c r="F342">
        <v>170.6</v>
      </c>
      <c r="G342">
        <v>168.4</v>
      </c>
      <c r="H342">
        <v>182.5</v>
      </c>
      <c r="I342">
        <v>177.1</v>
      </c>
      <c r="J342">
        <v>213.1</v>
      </c>
      <c r="K342">
        <v>167.3</v>
      </c>
      <c r="L342">
        <v>122.2</v>
      </c>
      <c r="M342">
        <v>189.7</v>
      </c>
      <c r="N342">
        <v>160.5</v>
      </c>
      <c r="O342">
        <v>188.9</v>
      </c>
      <c r="P342">
        <v>180.4</v>
      </c>
      <c r="Q342">
        <v>198.7</v>
      </c>
      <c r="R342">
        <v>173.7</v>
      </c>
      <c r="S342">
        <v>160</v>
      </c>
      <c r="T342">
        <v>171.6</v>
      </c>
      <c r="U342">
        <v>169</v>
      </c>
      <c r="V342">
        <v>178.4</v>
      </c>
      <c r="W342">
        <v>164.2</v>
      </c>
      <c r="X342">
        <v>172.6</v>
      </c>
      <c r="Y342">
        <v>157.69999999999999</v>
      </c>
      <c r="Z342">
        <v>165.1</v>
      </c>
      <c r="AA342">
        <v>169.9</v>
      </c>
      <c r="AB342">
        <v>171.4</v>
      </c>
      <c r="AC342">
        <v>165.4</v>
      </c>
      <c r="AD342">
        <v>173.1</v>
      </c>
    </row>
    <row r="343" spans="1:30" x14ac:dyDescent="0.3">
      <c r="A343" t="s">
        <v>34</v>
      </c>
      <c r="B343">
        <v>2022</v>
      </c>
      <c r="C343" t="s">
        <v>41</v>
      </c>
      <c r="D343">
        <v>160.30000000000001</v>
      </c>
      <c r="E343">
        <v>206.5</v>
      </c>
      <c r="F343">
        <v>169.2</v>
      </c>
      <c r="G343">
        <v>168.1</v>
      </c>
      <c r="H343">
        <v>192.4</v>
      </c>
      <c r="I343">
        <v>172.9</v>
      </c>
      <c r="J343">
        <v>186.7</v>
      </c>
      <c r="K343">
        <v>167.2</v>
      </c>
      <c r="L343">
        <v>120.9</v>
      </c>
      <c r="M343">
        <v>193.6</v>
      </c>
      <c r="N343">
        <v>168.8</v>
      </c>
      <c r="O343">
        <v>186.3</v>
      </c>
      <c r="P343">
        <v>176.3</v>
      </c>
      <c r="Q343">
        <v>195</v>
      </c>
      <c r="R343">
        <v>179.5</v>
      </c>
      <c r="S343">
        <v>172.7</v>
      </c>
      <c r="T343">
        <v>178.5</v>
      </c>
      <c r="U343">
        <v>169</v>
      </c>
      <c r="V343">
        <v>178.8</v>
      </c>
      <c r="W343">
        <v>168.5</v>
      </c>
      <c r="X343">
        <v>176.8</v>
      </c>
      <c r="Y343">
        <v>161.9</v>
      </c>
      <c r="Z343">
        <v>166.9</v>
      </c>
      <c r="AA343">
        <v>172.3</v>
      </c>
      <c r="AB343">
        <v>171.2</v>
      </c>
      <c r="AC343">
        <v>169.1</v>
      </c>
      <c r="AD343">
        <v>174.3</v>
      </c>
    </row>
    <row r="344" spans="1:30" x14ac:dyDescent="0.3">
      <c r="A344" t="s">
        <v>30</v>
      </c>
      <c r="B344">
        <v>2022</v>
      </c>
      <c r="C344" t="s">
        <v>42</v>
      </c>
      <c r="D344">
        <v>162.9</v>
      </c>
      <c r="E344">
        <v>206.7</v>
      </c>
      <c r="F344">
        <v>169</v>
      </c>
      <c r="G344">
        <v>169.5</v>
      </c>
      <c r="H344">
        <v>194.1</v>
      </c>
      <c r="I344">
        <v>164.1</v>
      </c>
      <c r="J344">
        <v>176.9</v>
      </c>
      <c r="K344">
        <v>169</v>
      </c>
      <c r="L344">
        <v>120.8</v>
      </c>
      <c r="M344">
        <v>199.1</v>
      </c>
      <c r="N344">
        <v>175.4</v>
      </c>
      <c r="O344">
        <v>184.8</v>
      </c>
      <c r="P344">
        <v>175.5</v>
      </c>
      <c r="Q344">
        <v>194.5</v>
      </c>
      <c r="R344">
        <v>184.7</v>
      </c>
      <c r="S344">
        <v>183.3</v>
      </c>
      <c r="T344">
        <v>184.5</v>
      </c>
      <c r="U344" t="s">
        <v>32</v>
      </c>
      <c r="V344">
        <v>179.7</v>
      </c>
      <c r="W344">
        <v>173.6</v>
      </c>
      <c r="X344">
        <v>180.2</v>
      </c>
      <c r="Y344">
        <v>166.9</v>
      </c>
      <c r="Z344">
        <v>170</v>
      </c>
      <c r="AA344">
        <v>176.2</v>
      </c>
      <c r="AB344">
        <v>170.8</v>
      </c>
      <c r="AC344">
        <v>173.1</v>
      </c>
      <c r="AD344">
        <v>176.4</v>
      </c>
    </row>
    <row r="345" spans="1:30" x14ac:dyDescent="0.3">
      <c r="A345" t="s">
        <v>33</v>
      </c>
      <c r="B345">
        <v>2022</v>
      </c>
      <c r="C345" t="s">
        <v>42</v>
      </c>
      <c r="D345">
        <v>164.9</v>
      </c>
      <c r="E345">
        <v>213.7</v>
      </c>
      <c r="F345">
        <v>170.9</v>
      </c>
      <c r="G345">
        <v>170.1</v>
      </c>
      <c r="H345">
        <v>179.3</v>
      </c>
      <c r="I345">
        <v>167.5</v>
      </c>
      <c r="J345">
        <v>220.8</v>
      </c>
      <c r="K345">
        <v>169.2</v>
      </c>
      <c r="L345">
        <v>123.1</v>
      </c>
      <c r="M345">
        <v>193.6</v>
      </c>
      <c r="N345">
        <v>161.1</v>
      </c>
      <c r="O345">
        <v>190.4</v>
      </c>
      <c r="P345">
        <v>181.8</v>
      </c>
      <c r="Q345">
        <v>199.7</v>
      </c>
      <c r="R345">
        <v>175</v>
      </c>
      <c r="S345">
        <v>161.69999999999999</v>
      </c>
      <c r="T345">
        <v>173</v>
      </c>
      <c r="U345">
        <v>169.5</v>
      </c>
      <c r="V345">
        <v>179.2</v>
      </c>
      <c r="W345">
        <v>165</v>
      </c>
      <c r="X345">
        <v>173.8</v>
      </c>
      <c r="Y345">
        <v>158.19999999999999</v>
      </c>
      <c r="Z345">
        <v>165.8</v>
      </c>
      <c r="AA345">
        <v>170.9</v>
      </c>
      <c r="AB345">
        <v>171.1</v>
      </c>
      <c r="AC345">
        <v>166.1</v>
      </c>
      <c r="AD345">
        <v>174.1</v>
      </c>
    </row>
    <row r="346" spans="1:30" x14ac:dyDescent="0.3">
      <c r="A346" t="s">
        <v>34</v>
      </c>
      <c r="B346">
        <v>2022</v>
      </c>
      <c r="C346" t="s">
        <v>42</v>
      </c>
      <c r="D346">
        <v>163.5</v>
      </c>
      <c r="E346">
        <v>209.2</v>
      </c>
      <c r="F346">
        <v>169.7</v>
      </c>
      <c r="G346">
        <v>169.7</v>
      </c>
      <c r="H346">
        <v>188.7</v>
      </c>
      <c r="I346">
        <v>165.7</v>
      </c>
      <c r="J346">
        <v>191.8</v>
      </c>
      <c r="K346">
        <v>169.1</v>
      </c>
      <c r="L346">
        <v>121.6</v>
      </c>
      <c r="M346">
        <v>197.3</v>
      </c>
      <c r="N346">
        <v>169.4</v>
      </c>
      <c r="O346">
        <v>187.4</v>
      </c>
      <c r="P346">
        <v>177.8</v>
      </c>
      <c r="Q346">
        <v>195.9</v>
      </c>
      <c r="R346">
        <v>180.9</v>
      </c>
      <c r="S346">
        <v>174.3</v>
      </c>
      <c r="T346">
        <v>179.9</v>
      </c>
      <c r="U346">
        <v>169.5</v>
      </c>
      <c r="V346">
        <v>179.5</v>
      </c>
      <c r="W346">
        <v>169.5</v>
      </c>
      <c r="X346">
        <v>177.8</v>
      </c>
      <c r="Y346">
        <v>162.30000000000001</v>
      </c>
      <c r="Z346">
        <v>167.6</v>
      </c>
      <c r="AA346">
        <v>173.1</v>
      </c>
      <c r="AB346">
        <v>170.9</v>
      </c>
      <c r="AC346">
        <v>169.7</v>
      </c>
      <c r="AD346">
        <v>175.3</v>
      </c>
    </row>
    <row r="347" spans="1:30" x14ac:dyDescent="0.3">
      <c r="A347" t="s">
        <v>30</v>
      </c>
      <c r="B347">
        <v>2022</v>
      </c>
      <c r="C347" t="s">
        <v>43</v>
      </c>
      <c r="D347">
        <v>164.7</v>
      </c>
      <c r="E347">
        <v>208.8</v>
      </c>
      <c r="F347">
        <v>170.3</v>
      </c>
      <c r="G347">
        <v>170.9</v>
      </c>
      <c r="H347">
        <v>191.6</v>
      </c>
      <c r="I347">
        <v>162.19999999999999</v>
      </c>
      <c r="J347">
        <v>184.8</v>
      </c>
      <c r="K347">
        <v>169.7</v>
      </c>
      <c r="L347">
        <v>121.1</v>
      </c>
      <c r="M347">
        <v>201.6</v>
      </c>
      <c r="N347">
        <v>175.8</v>
      </c>
      <c r="O347">
        <v>185.6</v>
      </c>
      <c r="P347">
        <v>177.4</v>
      </c>
      <c r="Q347">
        <v>194.9</v>
      </c>
      <c r="R347">
        <v>186.1</v>
      </c>
      <c r="S347">
        <v>184.4</v>
      </c>
      <c r="T347">
        <v>185.9</v>
      </c>
      <c r="U347" t="s">
        <v>32</v>
      </c>
      <c r="V347">
        <v>180.8</v>
      </c>
      <c r="W347">
        <v>174.4</v>
      </c>
      <c r="X347">
        <v>181.2</v>
      </c>
      <c r="Y347">
        <v>167.4</v>
      </c>
      <c r="Z347">
        <v>170.6</v>
      </c>
      <c r="AA347">
        <v>176.5</v>
      </c>
      <c r="AB347">
        <v>172</v>
      </c>
      <c r="AC347">
        <v>173.9</v>
      </c>
      <c r="AD347">
        <v>177.9</v>
      </c>
    </row>
    <row r="348" spans="1:30" x14ac:dyDescent="0.3">
      <c r="A348" t="s">
        <v>33</v>
      </c>
      <c r="B348">
        <v>2022</v>
      </c>
      <c r="C348" t="s">
        <v>43</v>
      </c>
      <c r="D348">
        <v>166.4</v>
      </c>
      <c r="E348">
        <v>214.9</v>
      </c>
      <c r="F348">
        <v>171.9</v>
      </c>
      <c r="G348">
        <v>171</v>
      </c>
      <c r="H348">
        <v>177.7</v>
      </c>
      <c r="I348">
        <v>165.7</v>
      </c>
      <c r="J348">
        <v>228.6</v>
      </c>
      <c r="K348">
        <v>169.9</v>
      </c>
      <c r="L348">
        <v>123.4</v>
      </c>
      <c r="M348">
        <v>196.4</v>
      </c>
      <c r="N348">
        <v>161.6</v>
      </c>
      <c r="O348">
        <v>191.5</v>
      </c>
      <c r="P348">
        <v>183.3</v>
      </c>
      <c r="Q348">
        <v>200.1</v>
      </c>
      <c r="R348">
        <v>175.5</v>
      </c>
      <c r="S348">
        <v>162.6</v>
      </c>
      <c r="T348">
        <v>173.6</v>
      </c>
      <c r="U348">
        <v>171.2</v>
      </c>
      <c r="V348">
        <v>180</v>
      </c>
      <c r="W348">
        <v>166</v>
      </c>
      <c r="X348">
        <v>174.7</v>
      </c>
      <c r="Y348">
        <v>158.80000000000001</v>
      </c>
      <c r="Z348">
        <v>166.3</v>
      </c>
      <c r="AA348">
        <v>171.2</v>
      </c>
      <c r="AB348">
        <v>172.3</v>
      </c>
      <c r="AC348">
        <v>166.8</v>
      </c>
      <c r="AD348">
        <v>175.3</v>
      </c>
    </row>
    <row r="349" spans="1:30" x14ac:dyDescent="0.3">
      <c r="A349" t="s">
        <v>34</v>
      </c>
      <c r="B349">
        <v>2022</v>
      </c>
      <c r="C349" t="s">
        <v>43</v>
      </c>
      <c r="D349">
        <v>165.2</v>
      </c>
      <c r="E349">
        <v>210.9</v>
      </c>
      <c r="F349">
        <v>170.9</v>
      </c>
      <c r="G349">
        <v>170.9</v>
      </c>
      <c r="H349">
        <v>186.5</v>
      </c>
      <c r="I349">
        <v>163.80000000000001</v>
      </c>
      <c r="J349">
        <v>199.7</v>
      </c>
      <c r="K349">
        <v>169.8</v>
      </c>
      <c r="L349">
        <v>121.9</v>
      </c>
      <c r="M349">
        <v>199.9</v>
      </c>
      <c r="N349">
        <v>169.9</v>
      </c>
      <c r="O349">
        <v>188.3</v>
      </c>
      <c r="P349">
        <v>179.6</v>
      </c>
      <c r="Q349">
        <v>196.3</v>
      </c>
      <c r="R349">
        <v>181.9</v>
      </c>
      <c r="S349">
        <v>175.3</v>
      </c>
      <c r="T349">
        <v>181</v>
      </c>
      <c r="U349">
        <v>171.2</v>
      </c>
      <c r="V349">
        <v>180.5</v>
      </c>
      <c r="W349">
        <v>170.4</v>
      </c>
      <c r="X349">
        <v>178.7</v>
      </c>
      <c r="Y349">
        <v>162.9</v>
      </c>
      <c r="Z349">
        <v>168.2</v>
      </c>
      <c r="AA349">
        <v>173.4</v>
      </c>
      <c r="AB349">
        <v>172.1</v>
      </c>
      <c r="AC349">
        <v>170.5</v>
      </c>
      <c r="AD349">
        <v>176.7</v>
      </c>
    </row>
    <row r="350" spans="1:30" x14ac:dyDescent="0.3">
      <c r="A350" t="s">
        <v>30</v>
      </c>
      <c r="B350">
        <v>2022</v>
      </c>
      <c r="C350" t="s">
        <v>45</v>
      </c>
      <c r="D350">
        <v>166.9</v>
      </c>
      <c r="E350">
        <v>207.2</v>
      </c>
      <c r="F350">
        <v>180.2</v>
      </c>
      <c r="G350">
        <v>172.3</v>
      </c>
      <c r="H350">
        <v>194</v>
      </c>
      <c r="I350">
        <v>159.1</v>
      </c>
      <c r="J350">
        <v>171.6</v>
      </c>
      <c r="K350">
        <v>170.2</v>
      </c>
      <c r="L350">
        <v>121.5</v>
      </c>
      <c r="M350">
        <v>204.8</v>
      </c>
      <c r="N350">
        <v>176.4</v>
      </c>
      <c r="O350">
        <v>186.9</v>
      </c>
      <c r="P350">
        <v>176.6</v>
      </c>
      <c r="Q350">
        <v>195.5</v>
      </c>
      <c r="R350">
        <v>187.2</v>
      </c>
      <c r="S350">
        <v>185.2</v>
      </c>
      <c r="T350">
        <v>186.9</v>
      </c>
      <c r="U350" t="s">
        <v>32</v>
      </c>
      <c r="V350">
        <v>181.9</v>
      </c>
      <c r="W350">
        <v>175.5</v>
      </c>
      <c r="X350">
        <v>182.3</v>
      </c>
      <c r="Y350">
        <v>167.5</v>
      </c>
      <c r="Z350">
        <v>170.8</v>
      </c>
      <c r="AA350">
        <v>176.9</v>
      </c>
      <c r="AB350">
        <v>173.4</v>
      </c>
      <c r="AC350">
        <v>174.6</v>
      </c>
      <c r="AD350">
        <v>177.8</v>
      </c>
    </row>
    <row r="351" spans="1:30" x14ac:dyDescent="0.3">
      <c r="A351" t="s">
        <v>33</v>
      </c>
      <c r="B351">
        <v>2022</v>
      </c>
      <c r="C351" t="s">
        <v>45</v>
      </c>
      <c r="D351">
        <v>168.4</v>
      </c>
      <c r="E351">
        <v>213.4</v>
      </c>
      <c r="F351">
        <v>183.2</v>
      </c>
      <c r="G351">
        <v>172.3</v>
      </c>
      <c r="H351">
        <v>180</v>
      </c>
      <c r="I351">
        <v>162.6</v>
      </c>
      <c r="J351">
        <v>205.5</v>
      </c>
      <c r="K351">
        <v>171</v>
      </c>
      <c r="L351">
        <v>123.4</v>
      </c>
      <c r="M351">
        <v>198.8</v>
      </c>
      <c r="N351">
        <v>162.1</v>
      </c>
      <c r="O351">
        <v>192.4</v>
      </c>
      <c r="P351">
        <v>181.3</v>
      </c>
      <c r="Q351">
        <v>200.6</v>
      </c>
      <c r="R351">
        <v>176.7</v>
      </c>
      <c r="S351">
        <v>163.5</v>
      </c>
      <c r="T351">
        <v>174.7</v>
      </c>
      <c r="U351">
        <v>171.8</v>
      </c>
      <c r="V351">
        <v>180.3</v>
      </c>
      <c r="W351">
        <v>166.9</v>
      </c>
      <c r="X351">
        <v>175.8</v>
      </c>
      <c r="Y351">
        <v>158.9</v>
      </c>
      <c r="Z351">
        <v>166.7</v>
      </c>
      <c r="AA351">
        <v>171.5</v>
      </c>
      <c r="AB351">
        <v>173.8</v>
      </c>
      <c r="AC351">
        <v>167.4</v>
      </c>
      <c r="AD351">
        <v>174.1</v>
      </c>
    </row>
    <row r="352" spans="1:30" x14ac:dyDescent="0.3">
      <c r="A352" t="s">
        <v>34</v>
      </c>
      <c r="B352">
        <v>2022</v>
      </c>
      <c r="C352" t="s">
        <v>45</v>
      </c>
      <c r="D352">
        <v>167.4</v>
      </c>
      <c r="E352">
        <v>209.4</v>
      </c>
      <c r="F352">
        <v>181.4</v>
      </c>
      <c r="G352">
        <v>172.3</v>
      </c>
      <c r="H352">
        <v>188.9</v>
      </c>
      <c r="I352">
        <v>160.69999999999999</v>
      </c>
      <c r="J352">
        <v>183.1</v>
      </c>
      <c r="K352">
        <v>170.5</v>
      </c>
      <c r="L352">
        <v>122.1</v>
      </c>
      <c r="M352">
        <v>202.8</v>
      </c>
      <c r="N352">
        <v>170.4</v>
      </c>
      <c r="O352">
        <v>189.5</v>
      </c>
      <c r="P352">
        <v>178.3</v>
      </c>
      <c r="Q352">
        <v>196.9</v>
      </c>
      <c r="R352">
        <v>183.1</v>
      </c>
      <c r="S352">
        <v>176.2</v>
      </c>
      <c r="T352">
        <v>182.1</v>
      </c>
      <c r="U352">
        <v>171.8</v>
      </c>
      <c r="V352">
        <v>181.3</v>
      </c>
      <c r="W352">
        <v>171.4</v>
      </c>
      <c r="X352">
        <v>179.8</v>
      </c>
      <c r="Y352">
        <v>163</v>
      </c>
      <c r="Z352">
        <v>168.5</v>
      </c>
      <c r="AA352">
        <v>173.7</v>
      </c>
      <c r="AB352">
        <v>173.6</v>
      </c>
      <c r="AC352">
        <v>171.1</v>
      </c>
      <c r="AD352">
        <v>176.5</v>
      </c>
    </row>
    <row r="353" spans="1:30" x14ac:dyDescent="0.3">
      <c r="A353" t="s">
        <v>30</v>
      </c>
      <c r="B353">
        <v>2022</v>
      </c>
      <c r="C353" t="s">
        <v>46</v>
      </c>
      <c r="D353">
        <v>168.8</v>
      </c>
      <c r="E353">
        <v>206.9</v>
      </c>
      <c r="F353">
        <v>189.1</v>
      </c>
      <c r="G353">
        <v>173.4</v>
      </c>
      <c r="H353">
        <v>193.9</v>
      </c>
      <c r="I353">
        <v>156.69999999999999</v>
      </c>
      <c r="J353">
        <v>150.19999999999999</v>
      </c>
      <c r="K353">
        <v>170.5</v>
      </c>
      <c r="L353">
        <v>121.2</v>
      </c>
      <c r="M353">
        <v>207.5</v>
      </c>
      <c r="N353">
        <v>176.8</v>
      </c>
      <c r="O353">
        <v>187.7</v>
      </c>
      <c r="P353">
        <v>174.4</v>
      </c>
      <c r="Q353">
        <v>195.9</v>
      </c>
      <c r="R353">
        <v>188.1</v>
      </c>
      <c r="S353">
        <v>185.9</v>
      </c>
      <c r="T353">
        <v>187.8</v>
      </c>
      <c r="U353" t="s">
        <v>32</v>
      </c>
      <c r="V353">
        <v>182.8</v>
      </c>
      <c r="W353">
        <v>176.4</v>
      </c>
      <c r="X353">
        <v>183.5</v>
      </c>
      <c r="Y353">
        <v>167.8</v>
      </c>
      <c r="Z353">
        <v>171.2</v>
      </c>
      <c r="AA353">
        <v>177.3</v>
      </c>
      <c r="AB353">
        <v>175.7</v>
      </c>
      <c r="AC353">
        <v>175.5</v>
      </c>
      <c r="AD353">
        <v>177.1</v>
      </c>
    </row>
    <row r="354" spans="1:30" x14ac:dyDescent="0.3">
      <c r="A354" t="s">
        <v>33</v>
      </c>
      <c r="B354">
        <v>2022</v>
      </c>
      <c r="C354" t="s">
        <v>46</v>
      </c>
      <c r="D354">
        <v>170.2</v>
      </c>
      <c r="E354">
        <v>212.9</v>
      </c>
      <c r="F354">
        <v>191.9</v>
      </c>
      <c r="G354">
        <v>173.9</v>
      </c>
      <c r="H354">
        <v>179.1</v>
      </c>
      <c r="I354">
        <v>159.5</v>
      </c>
      <c r="J354">
        <v>178.7</v>
      </c>
      <c r="K354">
        <v>171.3</v>
      </c>
      <c r="L354">
        <v>123.1</v>
      </c>
      <c r="M354">
        <v>200.5</v>
      </c>
      <c r="N354">
        <v>162.80000000000001</v>
      </c>
      <c r="O354">
        <v>193.3</v>
      </c>
      <c r="P354">
        <v>178.6</v>
      </c>
      <c r="Q354">
        <v>201.1</v>
      </c>
      <c r="R354">
        <v>177.7</v>
      </c>
      <c r="S354">
        <v>164.5</v>
      </c>
      <c r="T354">
        <v>175.7</v>
      </c>
      <c r="U354">
        <v>170.7</v>
      </c>
      <c r="V354">
        <v>180.6</v>
      </c>
      <c r="W354">
        <v>167.3</v>
      </c>
      <c r="X354">
        <v>177.2</v>
      </c>
      <c r="Y354">
        <v>159.4</v>
      </c>
      <c r="Z354">
        <v>167.1</v>
      </c>
      <c r="AA354">
        <v>171.8</v>
      </c>
      <c r="AB354">
        <v>176</v>
      </c>
      <c r="AC354">
        <v>168.2</v>
      </c>
      <c r="AD354">
        <v>174.1</v>
      </c>
    </row>
    <row r="355" spans="1:30" x14ac:dyDescent="0.3">
      <c r="A355" t="s">
        <v>34</v>
      </c>
      <c r="B355">
        <v>2022</v>
      </c>
      <c r="C355" t="s">
        <v>46</v>
      </c>
      <c r="D355">
        <v>169.2</v>
      </c>
      <c r="E355">
        <v>209</v>
      </c>
      <c r="F355">
        <v>190.2</v>
      </c>
      <c r="G355">
        <v>173.6</v>
      </c>
      <c r="H355">
        <v>188.5</v>
      </c>
      <c r="I355">
        <v>158</v>
      </c>
      <c r="J355">
        <v>159.9</v>
      </c>
      <c r="K355">
        <v>170.8</v>
      </c>
      <c r="L355">
        <v>121.8</v>
      </c>
      <c r="M355">
        <v>205.2</v>
      </c>
      <c r="N355">
        <v>171</v>
      </c>
      <c r="O355">
        <v>190.3</v>
      </c>
      <c r="P355">
        <v>175.9</v>
      </c>
      <c r="Q355">
        <v>197.3</v>
      </c>
      <c r="R355">
        <v>184</v>
      </c>
      <c r="S355">
        <v>177</v>
      </c>
      <c r="T355">
        <v>183</v>
      </c>
      <c r="U355">
        <v>170.7</v>
      </c>
      <c r="V355">
        <v>182</v>
      </c>
      <c r="W355">
        <v>172.1</v>
      </c>
      <c r="X355">
        <v>181.1</v>
      </c>
      <c r="Y355">
        <v>163.4</v>
      </c>
      <c r="Z355">
        <v>168.9</v>
      </c>
      <c r="AA355">
        <v>174.1</v>
      </c>
      <c r="AB355">
        <v>175.8</v>
      </c>
      <c r="AC355">
        <v>172</v>
      </c>
      <c r="AD355">
        <v>175.7</v>
      </c>
    </row>
    <row r="356" spans="1:30" x14ac:dyDescent="0.3">
      <c r="A356" t="s">
        <v>30</v>
      </c>
      <c r="B356">
        <v>2023</v>
      </c>
      <c r="C356" t="s">
        <v>31</v>
      </c>
      <c r="D356">
        <v>174</v>
      </c>
      <c r="E356">
        <v>208.3</v>
      </c>
      <c r="F356">
        <v>192.9</v>
      </c>
      <c r="G356">
        <v>174.3</v>
      </c>
      <c r="H356">
        <v>192.6</v>
      </c>
      <c r="I356">
        <v>156.30000000000001</v>
      </c>
      <c r="J356">
        <v>142.9</v>
      </c>
      <c r="K356">
        <v>170.7</v>
      </c>
      <c r="L356">
        <v>120.3</v>
      </c>
      <c r="M356">
        <v>210.5</v>
      </c>
      <c r="N356">
        <v>176.9</v>
      </c>
      <c r="O356">
        <v>188.5</v>
      </c>
      <c r="P356">
        <v>175</v>
      </c>
      <c r="Q356">
        <v>196.9</v>
      </c>
      <c r="R356">
        <v>189</v>
      </c>
      <c r="S356">
        <v>186.3</v>
      </c>
      <c r="T356">
        <v>188.6</v>
      </c>
      <c r="U356" t="s">
        <v>32</v>
      </c>
      <c r="V356">
        <v>183.2</v>
      </c>
      <c r="W356">
        <v>177.2</v>
      </c>
      <c r="X356">
        <v>184.7</v>
      </c>
      <c r="Y356">
        <v>168.2</v>
      </c>
      <c r="Z356">
        <v>171.8</v>
      </c>
      <c r="AA356">
        <v>177.8</v>
      </c>
      <c r="AB356">
        <v>178.4</v>
      </c>
      <c r="AC356">
        <v>176.5</v>
      </c>
      <c r="AD356">
        <v>177.8</v>
      </c>
    </row>
    <row r="357" spans="1:30" x14ac:dyDescent="0.3">
      <c r="A357" t="s">
        <v>33</v>
      </c>
      <c r="B357">
        <v>2023</v>
      </c>
      <c r="C357" t="s">
        <v>31</v>
      </c>
      <c r="D357">
        <v>173.3</v>
      </c>
      <c r="E357">
        <v>215.2</v>
      </c>
      <c r="F357">
        <v>197</v>
      </c>
      <c r="G357">
        <v>175.2</v>
      </c>
      <c r="H357">
        <v>178</v>
      </c>
      <c r="I357">
        <v>160.5</v>
      </c>
      <c r="J357">
        <v>175.3</v>
      </c>
      <c r="K357">
        <v>171.2</v>
      </c>
      <c r="L357">
        <v>122.7</v>
      </c>
      <c r="M357">
        <v>204.3</v>
      </c>
      <c r="N357">
        <v>163.69999999999999</v>
      </c>
      <c r="O357">
        <v>194.3</v>
      </c>
      <c r="P357">
        <v>179.5</v>
      </c>
      <c r="Q357">
        <v>201.6</v>
      </c>
      <c r="R357">
        <v>178.7</v>
      </c>
      <c r="S357">
        <v>165.3</v>
      </c>
      <c r="T357">
        <v>176.6</v>
      </c>
      <c r="U357">
        <v>172.1</v>
      </c>
      <c r="V357">
        <v>180.1</v>
      </c>
      <c r="W357">
        <v>168</v>
      </c>
      <c r="X357">
        <v>178.5</v>
      </c>
      <c r="Y357">
        <v>159.5</v>
      </c>
      <c r="Z357">
        <v>167.8</v>
      </c>
      <c r="AA357">
        <v>171.8</v>
      </c>
      <c r="AB357">
        <v>178.8</v>
      </c>
      <c r="AC357">
        <v>168.9</v>
      </c>
      <c r="AD357">
        <v>174.9</v>
      </c>
    </row>
    <row r="358" spans="1:30" x14ac:dyDescent="0.3">
      <c r="A358" t="s">
        <v>34</v>
      </c>
      <c r="B358">
        <v>2023</v>
      </c>
      <c r="C358" t="s">
        <v>31</v>
      </c>
      <c r="D358">
        <v>173.8</v>
      </c>
      <c r="E358">
        <v>210.7</v>
      </c>
      <c r="F358">
        <v>194.5</v>
      </c>
      <c r="G358">
        <v>174.6</v>
      </c>
      <c r="H358">
        <v>187.2</v>
      </c>
      <c r="I358">
        <v>158.30000000000001</v>
      </c>
      <c r="J358">
        <v>153.9</v>
      </c>
      <c r="K358">
        <v>170.9</v>
      </c>
      <c r="L358">
        <v>121.1</v>
      </c>
      <c r="M358">
        <v>208.4</v>
      </c>
      <c r="N358">
        <v>171.4</v>
      </c>
      <c r="O358">
        <v>191.2</v>
      </c>
      <c r="P358">
        <v>176.7</v>
      </c>
      <c r="Q358">
        <v>198.2</v>
      </c>
      <c r="R358">
        <v>184.9</v>
      </c>
      <c r="S358">
        <v>177.6</v>
      </c>
      <c r="T358">
        <v>183.8</v>
      </c>
      <c r="U358">
        <v>172.1</v>
      </c>
      <c r="V358">
        <v>182</v>
      </c>
      <c r="W358">
        <v>172.9</v>
      </c>
      <c r="X358">
        <v>182.3</v>
      </c>
      <c r="Y358">
        <v>163.6</v>
      </c>
      <c r="Z358">
        <v>169.5</v>
      </c>
      <c r="AA358">
        <v>174.3</v>
      </c>
      <c r="AB358">
        <v>178.6</v>
      </c>
      <c r="AC358">
        <v>172.8</v>
      </c>
      <c r="AD358">
        <v>176.5</v>
      </c>
    </row>
    <row r="359" spans="1:30" x14ac:dyDescent="0.3">
      <c r="A359" t="s">
        <v>30</v>
      </c>
      <c r="B359">
        <v>2023</v>
      </c>
      <c r="C359" t="s">
        <v>35</v>
      </c>
      <c r="D359">
        <v>174.2</v>
      </c>
      <c r="E359">
        <v>205.2</v>
      </c>
      <c r="F359">
        <v>173.9</v>
      </c>
      <c r="G359">
        <v>177</v>
      </c>
      <c r="H359">
        <v>183.4</v>
      </c>
      <c r="I359">
        <v>167.2</v>
      </c>
      <c r="J359">
        <v>140.9</v>
      </c>
      <c r="K359">
        <v>170.4</v>
      </c>
      <c r="L359">
        <v>119.1</v>
      </c>
      <c r="M359">
        <v>212.1</v>
      </c>
      <c r="N359">
        <v>177.6</v>
      </c>
      <c r="O359">
        <v>189.9</v>
      </c>
      <c r="P359">
        <v>174.8</v>
      </c>
      <c r="Q359">
        <v>198.3</v>
      </c>
      <c r="R359">
        <v>190</v>
      </c>
      <c r="S359">
        <v>187</v>
      </c>
      <c r="T359">
        <v>189.6</v>
      </c>
      <c r="U359" t="s">
        <v>32</v>
      </c>
      <c r="V359">
        <v>181.6</v>
      </c>
      <c r="W359">
        <v>178.6</v>
      </c>
      <c r="X359">
        <v>186.6</v>
      </c>
      <c r="Y359">
        <v>169</v>
      </c>
      <c r="Z359">
        <v>172.8</v>
      </c>
      <c r="AA359">
        <v>178.5</v>
      </c>
      <c r="AB359">
        <v>180.7</v>
      </c>
      <c r="AC359">
        <v>177.9</v>
      </c>
      <c r="AD359">
        <v>178</v>
      </c>
    </row>
    <row r="360" spans="1:30" x14ac:dyDescent="0.3">
      <c r="A360" t="s">
        <v>33</v>
      </c>
      <c r="B360">
        <v>2023</v>
      </c>
      <c r="C360" t="s">
        <v>35</v>
      </c>
      <c r="D360">
        <v>174.7</v>
      </c>
      <c r="E360">
        <v>212.2</v>
      </c>
      <c r="F360">
        <v>177.2</v>
      </c>
      <c r="G360">
        <v>177.9</v>
      </c>
      <c r="H360">
        <v>172.2</v>
      </c>
      <c r="I360">
        <v>172.1</v>
      </c>
      <c r="J360">
        <v>175.8</v>
      </c>
      <c r="K360">
        <v>172.2</v>
      </c>
      <c r="L360">
        <v>121.9</v>
      </c>
      <c r="M360">
        <v>204.8</v>
      </c>
      <c r="N360">
        <v>164.9</v>
      </c>
      <c r="O360">
        <v>196.6</v>
      </c>
      <c r="P360">
        <v>180.7</v>
      </c>
      <c r="Q360">
        <v>202.7</v>
      </c>
      <c r="R360">
        <v>180.3</v>
      </c>
      <c r="S360">
        <v>167</v>
      </c>
      <c r="T360">
        <v>178.2</v>
      </c>
      <c r="U360">
        <v>173.5</v>
      </c>
      <c r="V360">
        <v>182.8</v>
      </c>
      <c r="W360">
        <v>169.2</v>
      </c>
      <c r="X360">
        <v>180.8</v>
      </c>
      <c r="Y360">
        <v>159.80000000000001</v>
      </c>
      <c r="Z360">
        <v>168.4</v>
      </c>
      <c r="AA360">
        <v>172.5</v>
      </c>
      <c r="AB360">
        <v>181.4</v>
      </c>
      <c r="AC360">
        <v>170</v>
      </c>
      <c r="AD360">
        <v>176.3</v>
      </c>
    </row>
    <row r="361" spans="1:30" x14ac:dyDescent="0.3">
      <c r="A361" t="s">
        <v>34</v>
      </c>
      <c r="B361">
        <v>2023</v>
      </c>
      <c r="C361" t="s">
        <v>35</v>
      </c>
      <c r="D361">
        <v>174.4</v>
      </c>
      <c r="E361">
        <v>207.7</v>
      </c>
      <c r="F361">
        <v>175.2</v>
      </c>
      <c r="G361">
        <v>177.3</v>
      </c>
      <c r="H361">
        <v>179.3</v>
      </c>
      <c r="I361">
        <v>169.5</v>
      </c>
      <c r="J361">
        <v>152.69999999999999</v>
      </c>
      <c r="K361">
        <v>171</v>
      </c>
      <c r="L361">
        <v>120</v>
      </c>
      <c r="M361">
        <v>209.7</v>
      </c>
      <c r="N361">
        <v>172.3</v>
      </c>
      <c r="O361">
        <v>193</v>
      </c>
      <c r="P361">
        <v>177</v>
      </c>
      <c r="Q361">
        <v>199.5</v>
      </c>
      <c r="R361">
        <v>186.2</v>
      </c>
      <c r="S361">
        <v>178.7</v>
      </c>
      <c r="T361">
        <v>185.1</v>
      </c>
      <c r="U361">
        <v>173.5</v>
      </c>
      <c r="V361">
        <v>182.1</v>
      </c>
      <c r="W361">
        <v>174.2</v>
      </c>
      <c r="X361">
        <v>184.4</v>
      </c>
      <c r="Y361">
        <v>164.2</v>
      </c>
      <c r="Z361">
        <v>170.3</v>
      </c>
      <c r="AA361">
        <v>175</v>
      </c>
      <c r="AB361">
        <v>181</v>
      </c>
      <c r="AC361">
        <v>174.1</v>
      </c>
      <c r="AD361">
        <v>177.2</v>
      </c>
    </row>
    <row r="362" spans="1:30" x14ac:dyDescent="0.3">
      <c r="A362" t="s">
        <v>30</v>
      </c>
      <c r="B362">
        <v>2023</v>
      </c>
      <c r="C362" t="s">
        <v>36</v>
      </c>
      <c r="D362">
        <v>174.3</v>
      </c>
      <c r="E362">
        <v>205.2</v>
      </c>
      <c r="F362">
        <v>173.9</v>
      </c>
      <c r="G362">
        <v>177</v>
      </c>
      <c r="H362">
        <v>183.3</v>
      </c>
      <c r="I362">
        <v>167.2</v>
      </c>
      <c r="J362">
        <v>140.9</v>
      </c>
      <c r="K362">
        <v>170.5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198.4</v>
      </c>
      <c r="R362">
        <v>190</v>
      </c>
      <c r="S362">
        <v>187</v>
      </c>
      <c r="T362">
        <v>189.6</v>
      </c>
      <c r="U362" t="s">
        <v>32</v>
      </c>
      <c r="V362">
        <v>181.4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175.9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180.8</v>
      </c>
      <c r="Q363">
        <v>202.7</v>
      </c>
      <c r="R363">
        <v>180.2</v>
      </c>
      <c r="S363">
        <v>167</v>
      </c>
      <c r="T363">
        <v>178.2</v>
      </c>
      <c r="U363">
        <v>173.5</v>
      </c>
      <c r="V363">
        <v>182.6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181.5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179.2</v>
      </c>
      <c r="I364">
        <v>169.5</v>
      </c>
      <c r="J364">
        <v>152.80000000000001</v>
      </c>
      <c r="K364">
        <v>171.1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186.1</v>
      </c>
      <c r="S364">
        <v>178.7</v>
      </c>
      <c r="T364">
        <v>185.1</v>
      </c>
      <c r="U364">
        <v>173.5</v>
      </c>
      <c r="V364">
        <v>181.9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37</v>
      </c>
      <c r="D365">
        <v>173.3</v>
      </c>
      <c r="E365">
        <v>206.9</v>
      </c>
      <c r="F365">
        <v>167.9</v>
      </c>
      <c r="G365">
        <v>178.2</v>
      </c>
      <c r="H365">
        <v>178.5</v>
      </c>
      <c r="I365">
        <v>173.7</v>
      </c>
      <c r="J365">
        <v>142.80000000000001</v>
      </c>
      <c r="K365">
        <v>172.8</v>
      </c>
      <c r="L365">
        <v>120.4</v>
      </c>
      <c r="M365">
        <v>215.5</v>
      </c>
      <c r="N365">
        <v>178.2</v>
      </c>
      <c r="O365">
        <v>190.5</v>
      </c>
      <c r="P365">
        <v>175.5</v>
      </c>
      <c r="Q365">
        <v>199.5</v>
      </c>
      <c r="R365">
        <v>190.7</v>
      </c>
      <c r="S365">
        <v>187.3</v>
      </c>
      <c r="T365">
        <v>190.2</v>
      </c>
      <c r="U365" t="s">
        <v>47</v>
      </c>
      <c r="V365">
        <v>181.5</v>
      </c>
      <c r="W365">
        <v>179.1</v>
      </c>
      <c r="X365">
        <v>187.2</v>
      </c>
      <c r="Y365">
        <v>169.4</v>
      </c>
      <c r="Z365">
        <v>173.2</v>
      </c>
      <c r="AA365">
        <v>179.4</v>
      </c>
      <c r="AB365">
        <v>183.8</v>
      </c>
      <c r="AC365">
        <v>178.9</v>
      </c>
      <c r="AD365">
        <v>178.8</v>
      </c>
    </row>
    <row r="366" spans="1:30" x14ac:dyDescent="0.3">
      <c r="A366" t="s">
        <v>33</v>
      </c>
      <c r="B366">
        <v>2023</v>
      </c>
      <c r="C366" t="s">
        <v>37</v>
      </c>
      <c r="D366">
        <v>174.8</v>
      </c>
      <c r="E366">
        <v>213.7</v>
      </c>
      <c r="F366">
        <v>172.4</v>
      </c>
      <c r="G366">
        <v>178.8</v>
      </c>
      <c r="H366">
        <v>168.7</v>
      </c>
      <c r="I366">
        <v>179.2</v>
      </c>
      <c r="J366">
        <v>179.9</v>
      </c>
      <c r="K366">
        <v>174.7</v>
      </c>
      <c r="L366">
        <v>123.1</v>
      </c>
      <c r="M366">
        <v>207.8</v>
      </c>
      <c r="N366">
        <v>165.5</v>
      </c>
      <c r="O366">
        <v>197</v>
      </c>
      <c r="P366">
        <v>182.1</v>
      </c>
      <c r="Q366">
        <v>203.5</v>
      </c>
      <c r="R366">
        <v>181</v>
      </c>
      <c r="S366">
        <v>167.7</v>
      </c>
      <c r="T366">
        <v>178.9</v>
      </c>
      <c r="U366">
        <v>175.2</v>
      </c>
      <c r="V366">
        <v>182.1</v>
      </c>
      <c r="W366">
        <v>169.6</v>
      </c>
      <c r="X366">
        <v>181.5</v>
      </c>
      <c r="Y366">
        <v>160.1</v>
      </c>
      <c r="Z366">
        <v>168.8</v>
      </c>
      <c r="AA366">
        <v>174.2</v>
      </c>
      <c r="AB366">
        <v>184.4</v>
      </c>
      <c r="AC366">
        <v>170.9</v>
      </c>
      <c r="AD366">
        <v>177.4</v>
      </c>
    </row>
    <row r="367" spans="1:30" x14ac:dyDescent="0.3">
      <c r="A367" t="s">
        <v>34</v>
      </c>
      <c r="B367">
        <v>2023</v>
      </c>
      <c r="C367" t="s">
        <v>37</v>
      </c>
      <c r="D367">
        <v>173.8</v>
      </c>
      <c r="E367">
        <v>209.3</v>
      </c>
      <c r="F367">
        <v>169.6</v>
      </c>
      <c r="G367">
        <v>178.4</v>
      </c>
      <c r="H367">
        <v>174.9</v>
      </c>
      <c r="I367">
        <v>176.3</v>
      </c>
      <c r="J367">
        <v>155.4</v>
      </c>
      <c r="K367">
        <v>173.4</v>
      </c>
      <c r="L367">
        <v>121.3</v>
      </c>
      <c r="M367">
        <v>212.9</v>
      </c>
      <c r="N367">
        <v>172.9</v>
      </c>
      <c r="O367">
        <v>193.5</v>
      </c>
      <c r="P367">
        <v>177.9</v>
      </c>
      <c r="Q367">
        <v>200.6</v>
      </c>
      <c r="R367">
        <v>186.9</v>
      </c>
      <c r="S367">
        <v>179.2</v>
      </c>
      <c r="T367">
        <v>185.7</v>
      </c>
      <c r="U367">
        <v>175.2</v>
      </c>
      <c r="V367">
        <v>181.7</v>
      </c>
      <c r="W367">
        <v>174.6</v>
      </c>
      <c r="X367">
        <v>185</v>
      </c>
      <c r="Y367">
        <v>164.5</v>
      </c>
      <c r="Z367">
        <v>170.7</v>
      </c>
      <c r="AA367">
        <v>176.4</v>
      </c>
      <c r="AB367">
        <v>184</v>
      </c>
      <c r="AC367">
        <v>175</v>
      </c>
      <c r="AD367">
        <v>178.1</v>
      </c>
    </row>
    <row r="368" spans="1:30" x14ac:dyDescent="0.3">
      <c r="A368" t="s">
        <v>30</v>
      </c>
      <c r="B368">
        <v>2023</v>
      </c>
      <c r="C368" t="s">
        <v>38</v>
      </c>
      <c r="D368">
        <v>173.2</v>
      </c>
      <c r="E368">
        <v>211.5</v>
      </c>
      <c r="F368">
        <v>171</v>
      </c>
      <c r="G368">
        <v>179.6</v>
      </c>
      <c r="H368">
        <v>173.3</v>
      </c>
      <c r="I368">
        <v>169</v>
      </c>
      <c r="J368">
        <v>148.69999999999999</v>
      </c>
      <c r="K368">
        <v>174.9</v>
      </c>
      <c r="L368">
        <v>121.9</v>
      </c>
      <c r="M368">
        <v>221</v>
      </c>
      <c r="N368">
        <v>178.7</v>
      </c>
      <c r="O368">
        <v>191.1</v>
      </c>
      <c r="P368">
        <v>176.8</v>
      </c>
      <c r="Q368">
        <v>199.9</v>
      </c>
      <c r="R368">
        <v>191.2</v>
      </c>
      <c r="S368">
        <v>187.9</v>
      </c>
      <c r="T368">
        <v>190.8</v>
      </c>
      <c r="U368" t="s">
        <v>47</v>
      </c>
      <c r="V368">
        <v>182.5</v>
      </c>
      <c r="W368">
        <v>179.8</v>
      </c>
      <c r="X368">
        <v>187.8</v>
      </c>
      <c r="Y368">
        <v>169.7</v>
      </c>
      <c r="Z368">
        <v>173.8</v>
      </c>
      <c r="AA368">
        <v>180.3</v>
      </c>
      <c r="AB368">
        <v>184.9</v>
      </c>
      <c r="AC368">
        <v>179.5</v>
      </c>
      <c r="AD368">
        <v>179.8</v>
      </c>
    </row>
    <row r="369" spans="1:30" x14ac:dyDescent="0.3">
      <c r="A369" t="s">
        <v>33</v>
      </c>
      <c r="B369">
        <v>2023</v>
      </c>
      <c r="C369" t="s">
        <v>38</v>
      </c>
      <c r="D369">
        <v>174.7</v>
      </c>
      <c r="E369">
        <v>219.4</v>
      </c>
      <c r="F369">
        <v>176.7</v>
      </c>
      <c r="G369">
        <v>179.4</v>
      </c>
      <c r="H369">
        <v>164.4</v>
      </c>
      <c r="I369">
        <v>175.8</v>
      </c>
      <c r="J369">
        <v>185</v>
      </c>
      <c r="K369">
        <v>176.9</v>
      </c>
      <c r="L369">
        <v>124.2</v>
      </c>
      <c r="M369">
        <v>211.9</v>
      </c>
      <c r="N369">
        <v>165.9</v>
      </c>
      <c r="O369">
        <v>197.7</v>
      </c>
      <c r="P369">
        <v>183.1</v>
      </c>
      <c r="Q369">
        <v>204.2</v>
      </c>
      <c r="R369">
        <v>181.3</v>
      </c>
      <c r="S369">
        <v>168.1</v>
      </c>
      <c r="T369">
        <v>179.3</v>
      </c>
      <c r="U369">
        <v>175.6</v>
      </c>
      <c r="V369">
        <v>183.4</v>
      </c>
      <c r="W369">
        <v>170.1</v>
      </c>
      <c r="X369">
        <v>182.2</v>
      </c>
      <c r="Y369">
        <v>160.4</v>
      </c>
      <c r="Z369">
        <v>169.2</v>
      </c>
      <c r="AA369">
        <v>174.8</v>
      </c>
      <c r="AB369">
        <v>185.6</v>
      </c>
      <c r="AC369">
        <v>171.6</v>
      </c>
      <c r="AD369">
        <v>178.2</v>
      </c>
    </row>
    <row r="370" spans="1:30" x14ac:dyDescent="0.3">
      <c r="A370" t="s">
        <v>34</v>
      </c>
      <c r="B370">
        <v>2023</v>
      </c>
      <c r="C370" t="s">
        <v>38</v>
      </c>
      <c r="D370">
        <v>173.7</v>
      </c>
      <c r="E370">
        <v>214.3</v>
      </c>
      <c r="F370">
        <v>173.2</v>
      </c>
      <c r="G370">
        <v>179.5</v>
      </c>
      <c r="H370">
        <v>170</v>
      </c>
      <c r="I370">
        <v>172.2</v>
      </c>
      <c r="J370">
        <v>161</v>
      </c>
      <c r="K370">
        <v>175.6</v>
      </c>
      <c r="L370">
        <v>122.7</v>
      </c>
      <c r="M370">
        <v>218</v>
      </c>
      <c r="N370">
        <v>173.4</v>
      </c>
      <c r="O370">
        <v>194.2</v>
      </c>
      <c r="P370">
        <v>179.1</v>
      </c>
      <c r="Q370">
        <v>201</v>
      </c>
      <c r="R370">
        <v>187.3</v>
      </c>
      <c r="S370">
        <v>179.7</v>
      </c>
      <c r="T370">
        <v>186.2</v>
      </c>
      <c r="U370">
        <v>175.6</v>
      </c>
      <c r="V370">
        <v>182.8</v>
      </c>
      <c r="W370">
        <v>175.2</v>
      </c>
      <c r="X370">
        <v>185.7</v>
      </c>
      <c r="Y370">
        <v>164.8</v>
      </c>
      <c r="Z370">
        <v>171.2</v>
      </c>
      <c r="AA370">
        <v>177.1</v>
      </c>
      <c r="AB370">
        <v>185.2</v>
      </c>
      <c r="AC370">
        <v>175.7</v>
      </c>
      <c r="AD370">
        <v>179.1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2060-460D-4310-AFC6-781B84166CAD}">
  <dimension ref="C2:M19"/>
  <sheetViews>
    <sheetView workbookViewId="0">
      <selection activeCell="F16" sqref="F16:M19"/>
    </sheetView>
  </sheetViews>
  <sheetFormatPr defaultRowHeight="14.4" x14ac:dyDescent="0.3"/>
  <cols>
    <col min="3" max="3" width="24.33203125" bestFit="1" customWidth="1"/>
    <col min="4" max="4" width="10.77734375" customWidth="1"/>
    <col min="5" max="5" width="15" customWidth="1"/>
  </cols>
  <sheetData>
    <row r="2" spans="3:13" x14ac:dyDescent="0.3">
      <c r="C2" s="1" t="s">
        <v>53</v>
      </c>
      <c r="D2" s="1" t="s">
        <v>54</v>
      </c>
      <c r="E2" s="1" t="s">
        <v>55</v>
      </c>
    </row>
    <row r="3" spans="3:13" x14ac:dyDescent="0.3">
      <c r="C3" t="s">
        <v>15</v>
      </c>
      <c r="D3">
        <v>177.9</v>
      </c>
      <c r="E3">
        <v>9.8504983388704304</v>
      </c>
    </row>
    <row r="4" spans="3:13" x14ac:dyDescent="0.3">
      <c r="C4" t="s">
        <v>48</v>
      </c>
      <c r="D4">
        <v>200.6</v>
      </c>
      <c r="E4">
        <v>11.107419712070874</v>
      </c>
    </row>
    <row r="5" spans="3:13" x14ac:dyDescent="0.3">
      <c r="C5" t="s">
        <v>49</v>
      </c>
      <c r="D5">
        <v>185.7</v>
      </c>
      <c r="E5">
        <v>10.282392026578071</v>
      </c>
    </row>
    <row r="6" spans="3:13" x14ac:dyDescent="0.3">
      <c r="C6" t="s">
        <v>20</v>
      </c>
      <c r="D6">
        <v>175.2</v>
      </c>
      <c r="E6">
        <v>9.7009966777408607</v>
      </c>
    </row>
    <row r="7" spans="3:13" x14ac:dyDescent="0.3">
      <c r="C7" t="s">
        <v>50</v>
      </c>
      <c r="D7">
        <v>181.7</v>
      </c>
      <c r="E7">
        <v>10.060908084163895</v>
      </c>
    </row>
    <row r="8" spans="3:13" x14ac:dyDescent="0.3">
      <c r="C8" t="s">
        <v>23</v>
      </c>
      <c r="D8">
        <v>185</v>
      </c>
      <c r="E8">
        <v>10.24363233665559</v>
      </c>
    </row>
    <row r="9" spans="3:13" x14ac:dyDescent="0.3">
      <c r="C9" t="s">
        <v>51</v>
      </c>
      <c r="D9">
        <v>164.5</v>
      </c>
      <c r="E9">
        <v>9.1085271317829459</v>
      </c>
    </row>
    <row r="10" spans="3:13" x14ac:dyDescent="0.3">
      <c r="C10" t="s">
        <v>26</v>
      </c>
      <c r="D10">
        <v>176.4</v>
      </c>
      <c r="E10">
        <v>9.7674418604651141</v>
      </c>
    </row>
    <row r="11" spans="3:13" x14ac:dyDescent="0.3">
      <c r="C11" t="s">
        <v>52</v>
      </c>
      <c r="D11">
        <v>184</v>
      </c>
      <c r="E11">
        <v>10.188261351052047</v>
      </c>
    </row>
    <row r="12" spans="3:13" x14ac:dyDescent="0.3">
      <c r="C12" t="s">
        <v>28</v>
      </c>
      <c r="D12">
        <v>175</v>
      </c>
      <c r="E12">
        <v>9.6899224806201545</v>
      </c>
    </row>
    <row r="13" spans="3:13" x14ac:dyDescent="0.3">
      <c r="C13" s="11"/>
      <c r="D13" s="11"/>
      <c r="E13" s="11"/>
    </row>
    <row r="14" spans="3:13" x14ac:dyDescent="0.3">
      <c r="C14" s="11"/>
      <c r="D14" s="11"/>
      <c r="E14" s="11"/>
    </row>
    <row r="15" spans="3:13" x14ac:dyDescent="0.3">
      <c r="C15" s="11"/>
      <c r="D15" s="11"/>
      <c r="E15" s="11"/>
    </row>
    <row r="16" spans="3:13" x14ac:dyDescent="0.3">
      <c r="C16" s="11"/>
      <c r="D16" s="11"/>
      <c r="E16" s="11"/>
      <c r="F16" s="14" t="s">
        <v>89</v>
      </c>
      <c r="G16" s="14"/>
      <c r="H16" s="14"/>
      <c r="I16" s="14"/>
      <c r="J16" s="14"/>
      <c r="K16" s="14"/>
      <c r="L16" s="14"/>
      <c r="M16" s="14"/>
    </row>
    <row r="17" spans="3:13" x14ac:dyDescent="0.3">
      <c r="C17" s="11"/>
      <c r="D17" s="11"/>
      <c r="E17" s="11"/>
      <c r="F17" s="14"/>
      <c r="G17" s="14"/>
      <c r="H17" s="14"/>
      <c r="I17" s="14"/>
      <c r="J17" s="14"/>
      <c r="K17" s="14"/>
      <c r="L17" s="14"/>
      <c r="M17" s="14"/>
    </row>
    <row r="18" spans="3:13" x14ac:dyDescent="0.3">
      <c r="F18" s="14"/>
      <c r="G18" s="14"/>
      <c r="H18" s="14"/>
      <c r="I18" s="14"/>
      <c r="J18" s="14"/>
      <c r="K18" s="14"/>
      <c r="L18" s="14"/>
      <c r="M18" s="14"/>
    </row>
    <row r="19" spans="3:13" x14ac:dyDescent="0.3">
      <c r="F19" s="14"/>
      <c r="G19" s="14"/>
      <c r="H19" s="14"/>
      <c r="I19" s="14"/>
      <c r="J19" s="14"/>
      <c r="K19" s="14"/>
      <c r="L19" s="14"/>
      <c r="M19" s="14"/>
    </row>
  </sheetData>
  <mergeCells count="1">
    <mergeCell ref="F16:M19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4E81-08B1-4908-99E3-827DE3D6D850}">
  <dimension ref="A2:B9"/>
  <sheetViews>
    <sheetView workbookViewId="0">
      <selection activeCell="B9" sqref="B9"/>
    </sheetView>
  </sheetViews>
  <sheetFormatPr defaultRowHeight="14.4" x14ac:dyDescent="0.3"/>
  <cols>
    <col min="1" max="1" width="12.21875" customWidth="1"/>
    <col min="2" max="2" width="18.5546875" bestFit="1" customWidth="1"/>
    <col min="3" max="3" width="15" customWidth="1"/>
  </cols>
  <sheetData>
    <row r="2" spans="1:2" x14ac:dyDescent="0.3">
      <c r="A2" t="s">
        <v>56</v>
      </c>
      <c r="B2" t="s">
        <v>57</v>
      </c>
    </row>
    <row r="3" spans="1:2" x14ac:dyDescent="0.3">
      <c r="A3">
        <v>2017</v>
      </c>
      <c r="B3">
        <v>3.3279999999999998</v>
      </c>
    </row>
    <row r="4" spans="1:2" x14ac:dyDescent="0.3">
      <c r="A4">
        <v>2018</v>
      </c>
      <c r="B4">
        <v>3.9550000000000001</v>
      </c>
    </row>
    <row r="5" spans="1:2" x14ac:dyDescent="0.3">
      <c r="A5">
        <v>2019</v>
      </c>
      <c r="B5">
        <v>3.891</v>
      </c>
    </row>
    <row r="6" spans="1:2" x14ac:dyDescent="0.3">
      <c r="A6">
        <v>2020</v>
      </c>
      <c r="B6">
        <v>6.0830000000000002</v>
      </c>
    </row>
    <row r="7" spans="1:2" x14ac:dyDescent="0.3">
      <c r="A7">
        <v>2021</v>
      </c>
      <c r="B7">
        <v>5.5640000000000001</v>
      </c>
    </row>
    <row r="8" spans="1:2" x14ac:dyDescent="0.3">
      <c r="A8">
        <v>2022</v>
      </c>
      <c r="B8">
        <v>6.6210000000000004</v>
      </c>
    </row>
    <row r="9" spans="1:2" x14ac:dyDescent="0.3">
      <c r="A9">
        <v>2023</v>
      </c>
      <c r="B9">
        <v>3.177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53AD-F735-4956-8B22-44AF6DD16680}">
  <dimension ref="A4:B31"/>
  <sheetViews>
    <sheetView workbookViewId="0">
      <selection activeCell="B16" sqref="B16"/>
    </sheetView>
  </sheetViews>
  <sheetFormatPr defaultRowHeight="14.4" x14ac:dyDescent="0.3"/>
  <cols>
    <col min="1" max="1" width="11.109375" bestFit="1" customWidth="1"/>
    <col min="2" max="2" width="37.77734375" bestFit="1" customWidth="1"/>
    <col min="3" max="3" width="16.5546875" customWidth="1"/>
  </cols>
  <sheetData>
    <row r="4" spans="1:2" x14ac:dyDescent="0.3">
      <c r="A4" t="s">
        <v>2</v>
      </c>
      <c r="B4" t="s">
        <v>58</v>
      </c>
    </row>
    <row r="5" spans="1:2" x14ac:dyDescent="0.3">
      <c r="A5" s="13">
        <v>44713</v>
      </c>
      <c r="B5">
        <f>ROUND(0.923254472013845,3)</f>
        <v>0.92300000000000004</v>
      </c>
    </row>
    <row r="6" spans="1:2" x14ac:dyDescent="0.3">
      <c r="A6" s="13">
        <v>44743</v>
      </c>
      <c r="B6">
        <f>ROUND(0.0571755288736388,3)</f>
        <v>5.7000000000000002E-2</v>
      </c>
    </row>
    <row r="7" spans="1:2" x14ac:dyDescent="0.3">
      <c r="A7" s="13">
        <v>44774</v>
      </c>
      <c r="B7">
        <f>ROUND(0.742857142857149,3)</f>
        <v>0.74299999999999999</v>
      </c>
    </row>
    <row r="8" spans="1:2" x14ac:dyDescent="0.3">
      <c r="A8" s="13">
        <v>44805</v>
      </c>
      <c r="B8">
        <f>ROUND(0.850822461712989,3)</f>
        <v>0.85099999999999998</v>
      </c>
    </row>
    <row r="9" spans="1:2" x14ac:dyDescent="0.3">
      <c r="A9" s="13">
        <v>44835</v>
      </c>
      <c r="B9">
        <f>ROUND(1.01237345331833,3)</f>
        <v>1.012</v>
      </c>
    </row>
    <row r="10" spans="1:2" x14ac:dyDescent="0.3">
      <c r="A10" s="13">
        <v>44866</v>
      </c>
      <c r="B10">
        <f>ROUND(-0.723830734966583,3)</f>
        <v>-0.72399999999999998</v>
      </c>
    </row>
    <row r="11" spans="1:2" x14ac:dyDescent="0.3">
      <c r="A11" s="13">
        <v>44896</v>
      </c>
      <c r="B11">
        <f>ROUND(-1.34604598990466,3)</f>
        <v>-1.3460000000000001</v>
      </c>
    </row>
    <row r="12" spans="1:2" x14ac:dyDescent="0.3">
      <c r="A12" s="13">
        <v>44927</v>
      </c>
      <c r="B12">
        <f>ROUND(0.45480386583285,3)</f>
        <v>0.45500000000000002</v>
      </c>
    </row>
    <row r="13" spans="1:2" x14ac:dyDescent="0.3">
      <c r="A13" s="13">
        <v>44958</v>
      </c>
      <c r="B13">
        <f>ROUND(0.169779286927001,3)</f>
        <v>0.17</v>
      </c>
    </row>
    <row r="14" spans="1:2" x14ac:dyDescent="0.3">
      <c r="A14" s="13">
        <v>44986</v>
      </c>
      <c r="B14">
        <v>0</v>
      </c>
    </row>
    <row r="15" spans="1:2" x14ac:dyDescent="0.3">
      <c r="A15" s="13">
        <v>45017</v>
      </c>
      <c r="B15">
        <f>ROUNDUP(0.50847457627119,3)</f>
        <v>0.50900000000000001</v>
      </c>
    </row>
    <row r="16" spans="1:2" x14ac:dyDescent="0.3">
      <c r="A16" s="13">
        <v>45047</v>
      </c>
      <c r="B16">
        <f>ROUNDUP(0.674536256323771,3)</f>
        <v>0.67500000000000004</v>
      </c>
    </row>
    <row r="20" spans="1:1" x14ac:dyDescent="0.3">
      <c r="A20" s="12"/>
    </row>
    <row r="21" spans="1:1" x14ac:dyDescent="0.3">
      <c r="A21" s="12"/>
    </row>
    <row r="22" spans="1:1" x14ac:dyDescent="0.3">
      <c r="A22" s="12"/>
    </row>
    <row r="23" spans="1:1" x14ac:dyDescent="0.3">
      <c r="A23" s="12"/>
    </row>
    <row r="24" spans="1:1" x14ac:dyDescent="0.3">
      <c r="A24" s="12"/>
    </row>
    <row r="25" spans="1:1" x14ac:dyDescent="0.3">
      <c r="A25" s="12"/>
    </row>
    <row r="26" spans="1:1" x14ac:dyDescent="0.3">
      <c r="A26" s="12"/>
    </row>
    <row r="27" spans="1:1" x14ac:dyDescent="0.3">
      <c r="A27" s="12"/>
    </row>
    <row r="28" spans="1:1" x14ac:dyDescent="0.3">
      <c r="A28" s="12"/>
    </row>
    <row r="29" spans="1:1" x14ac:dyDescent="0.3">
      <c r="A29" s="12"/>
    </row>
    <row r="30" spans="1:1" x14ac:dyDescent="0.3">
      <c r="A30" s="12"/>
    </row>
    <row r="31" spans="1:1" x14ac:dyDescent="0.3">
      <c r="A31" s="12"/>
    </row>
  </sheetData>
  <conditionalFormatting sqref="B4:B16">
    <cfRule type="top10" dxfId="1" priority="1" bottom="1" rank="1"/>
    <cfRule type="top10" dxfId="0" priority="2" rank="1"/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70E5-B15F-40DC-936A-53E7C26EC05F}">
  <dimension ref="A2:M23"/>
  <sheetViews>
    <sheetView workbookViewId="0">
      <selection activeCell="E21" sqref="E21:M23"/>
    </sheetView>
  </sheetViews>
  <sheetFormatPr defaultRowHeight="14.4" x14ac:dyDescent="0.3"/>
  <cols>
    <col min="1" max="1" width="30.44140625" bestFit="1" customWidth="1"/>
    <col min="2" max="3" width="14.33203125" customWidth="1"/>
    <col min="4" max="4" width="17.109375" customWidth="1"/>
  </cols>
  <sheetData>
    <row r="2" spans="1:4" x14ac:dyDescent="0.3">
      <c r="A2" t="s">
        <v>59</v>
      </c>
      <c r="B2" t="s">
        <v>60</v>
      </c>
      <c r="C2" t="s">
        <v>61</v>
      </c>
      <c r="D2" t="s">
        <v>62</v>
      </c>
    </row>
    <row r="3" spans="1:4" x14ac:dyDescent="0.3">
      <c r="A3" t="s">
        <v>12</v>
      </c>
      <c r="B3">
        <v>184.9</v>
      </c>
      <c r="C3">
        <v>218</v>
      </c>
      <c r="D3">
        <v>33.099999999999994</v>
      </c>
    </row>
    <row r="4" spans="1:4" x14ac:dyDescent="0.3">
      <c r="A4" t="s">
        <v>3</v>
      </c>
      <c r="B4">
        <v>154.1</v>
      </c>
      <c r="C4">
        <v>173.7</v>
      </c>
      <c r="D4">
        <v>19.599999999999994</v>
      </c>
    </row>
    <row r="5" spans="1:4" x14ac:dyDescent="0.3">
      <c r="A5" t="s">
        <v>6</v>
      </c>
      <c r="B5">
        <v>164.9</v>
      </c>
      <c r="C5">
        <v>179.5</v>
      </c>
      <c r="D5">
        <v>14.599999999999994</v>
      </c>
    </row>
    <row r="6" spans="1:4" x14ac:dyDescent="0.3">
      <c r="A6" t="s">
        <v>14</v>
      </c>
      <c r="B6">
        <v>182.5</v>
      </c>
      <c r="C6">
        <v>194.2</v>
      </c>
      <c r="D6">
        <v>11.699999999999989</v>
      </c>
    </row>
    <row r="7" spans="1:4" x14ac:dyDescent="0.3">
      <c r="A7" t="s">
        <v>10</v>
      </c>
      <c r="B7">
        <v>164.7</v>
      </c>
      <c r="C7">
        <v>175.6</v>
      </c>
      <c r="D7">
        <v>10.900000000000006</v>
      </c>
    </row>
    <row r="8" spans="1:4" x14ac:dyDescent="0.3">
      <c r="A8" t="s">
        <v>5</v>
      </c>
      <c r="B8">
        <v>162.4</v>
      </c>
      <c r="C8">
        <v>173.2</v>
      </c>
      <c r="D8">
        <v>10.799999999999983</v>
      </c>
    </row>
    <row r="9" spans="1:4" x14ac:dyDescent="0.3">
      <c r="A9" t="s">
        <v>13</v>
      </c>
      <c r="B9">
        <v>167.1</v>
      </c>
      <c r="C9">
        <v>173.4</v>
      </c>
      <c r="D9">
        <v>6.3000000000000114</v>
      </c>
    </row>
    <row r="10" spans="1:4" x14ac:dyDescent="0.3">
      <c r="A10" t="s">
        <v>11</v>
      </c>
      <c r="B10">
        <v>119.7</v>
      </c>
      <c r="C10">
        <v>122.7</v>
      </c>
      <c r="D10">
        <v>3</v>
      </c>
    </row>
    <row r="11" spans="1:4" x14ac:dyDescent="0.3">
      <c r="A11" t="s">
        <v>8</v>
      </c>
      <c r="B11">
        <v>171</v>
      </c>
      <c r="C11">
        <v>172.2</v>
      </c>
      <c r="D11">
        <v>1.1999999999999886</v>
      </c>
    </row>
    <row r="12" spans="1:4" x14ac:dyDescent="0.3">
      <c r="A12" t="s">
        <v>4</v>
      </c>
      <c r="B12">
        <v>217</v>
      </c>
      <c r="C12">
        <v>214.3</v>
      </c>
      <c r="D12">
        <v>-2.6999999999999886</v>
      </c>
    </row>
    <row r="13" spans="1:4" x14ac:dyDescent="0.3">
      <c r="A13" t="s">
        <v>9</v>
      </c>
      <c r="B13">
        <v>174.9</v>
      </c>
      <c r="C13">
        <v>161</v>
      </c>
      <c r="D13">
        <v>-13.900000000000006</v>
      </c>
    </row>
    <row r="14" spans="1:4" x14ac:dyDescent="0.3">
      <c r="A14" t="s">
        <v>7</v>
      </c>
      <c r="B14">
        <v>202.4</v>
      </c>
      <c r="C14">
        <v>170</v>
      </c>
      <c r="D14">
        <v>-32.400000000000006</v>
      </c>
    </row>
    <row r="21" spans="5:13" x14ac:dyDescent="0.3">
      <c r="E21" s="15" t="s">
        <v>63</v>
      </c>
      <c r="F21" s="15"/>
      <c r="G21" s="15"/>
      <c r="H21" s="15"/>
      <c r="I21" s="15"/>
      <c r="J21" s="15"/>
      <c r="K21" s="15"/>
      <c r="L21" s="15"/>
      <c r="M21" s="15"/>
    </row>
    <row r="22" spans="5:13" x14ac:dyDescent="0.3">
      <c r="E22" s="15"/>
      <c r="F22" s="15"/>
      <c r="G22" s="15"/>
      <c r="H22" s="15"/>
      <c r="I22" s="15"/>
      <c r="J22" s="15"/>
      <c r="K22" s="15"/>
      <c r="L22" s="15"/>
      <c r="M22" s="15"/>
    </row>
    <row r="23" spans="5:13" x14ac:dyDescent="0.3">
      <c r="E23" s="15"/>
      <c r="F23" s="15"/>
      <c r="G23" s="15"/>
      <c r="H23" s="15"/>
      <c r="I23" s="15"/>
      <c r="J23" s="15"/>
      <c r="K23" s="15"/>
      <c r="L23" s="15"/>
      <c r="M23" s="15"/>
    </row>
  </sheetData>
  <mergeCells count="1">
    <mergeCell ref="E21:M23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A21C-C952-410B-8E4F-B534D9CF5E71}">
  <dimension ref="B3:O35"/>
  <sheetViews>
    <sheetView topLeftCell="B2" zoomScale="93" workbookViewId="0">
      <selection activeCell="E28" sqref="E28"/>
    </sheetView>
  </sheetViews>
  <sheetFormatPr defaultRowHeight="14.4" x14ac:dyDescent="0.3"/>
  <cols>
    <col min="2" max="2" width="18.21875" bestFit="1" customWidth="1"/>
    <col min="3" max="3" width="15.5546875" bestFit="1" customWidth="1"/>
    <col min="4" max="4" width="25.44140625" bestFit="1" customWidth="1"/>
    <col min="5" max="5" width="20.109375" bestFit="1" customWidth="1"/>
  </cols>
  <sheetData>
    <row r="3" spans="2:5" x14ac:dyDescent="0.3">
      <c r="B3" t="s">
        <v>2</v>
      </c>
      <c r="C3" t="s">
        <v>86</v>
      </c>
      <c r="D3" t="s">
        <v>87</v>
      </c>
      <c r="E3" t="s">
        <v>88</v>
      </c>
    </row>
    <row r="4" spans="2:5" x14ac:dyDescent="0.3">
      <c r="B4" t="s">
        <v>64</v>
      </c>
      <c r="C4">
        <v>0.42</v>
      </c>
      <c r="D4">
        <v>0.44</v>
      </c>
      <c r="E4">
        <v>0.94000000000000006</v>
      </c>
    </row>
    <row r="5" spans="2:5" x14ac:dyDescent="0.3">
      <c r="B5" t="s">
        <v>65</v>
      </c>
      <c r="C5">
        <v>0.48</v>
      </c>
      <c r="D5">
        <v>2.0299999999999998</v>
      </c>
      <c r="E5">
        <v>0.43</v>
      </c>
    </row>
    <row r="6" spans="2:5" x14ac:dyDescent="0.3">
      <c r="B6" t="s">
        <v>66</v>
      </c>
      <c r="C6">
        <v>0.35000000000000003</v>
      </c>
      <c r="D6">
        <v>1.28</v>
      </c>
      <c r="E6">
        <v>0.65</v>
      </c>
    </row>
    <row r="7" spans="2:5" x14ac:dyDescent="0.3">
      <c r="B7" t="s">
        <v>67</v>
      </c>
      <c r="C7">
        <v>0.34</v>
      </c>
      <c r="D7">
        <v>1.41</v>
      </c>
      <c r="E7">
        <v>-1.35</v>
      </c>
    </row>
    <row r="8" spans="2:5" x14ac:dyDescent="0.3">
      <c r="B8" t="s">
        <v>68</v>
      </c>
      <c r="C8">
        <v>0.41000000000000003</v>
      </c>
      <c r="D8">
        <v>0.83</v>
      </c>
      <c r="E8">
        <v>-0.57999999999999996</v>
      </c>
    </row>
    <row r="9" spans="2:5" x14ac:dyDescent="0.3">
      <c r="B9" t="s">
        <v>69</v>
      </c>
      <c r="C9">
        <v>0.34</v>
      </c>
      <c r="D9">
        <v>0.76</v>
      </c>
      <c r="E9">
        <v>0.51</v>
      </c>
    </row>
    <row r="10" spans="2:5" x14ac:dyDescent="0.3">
      <c r="B10" t="s">
        <v>70</v>
      </c>
      <c r="C10">
        <v>0.27</v>
      </c>
      <c r="D10">
        <v>1.77</v>
      </c>
      <c r="E10">
        <v>1.01</v>
      </c>
    </row>
    <row r="11" spans="2:5" x14ac:dyDescent="0.3">
      <c r="B11" t="s">
        <v>71</v>
      </c>
      <c r="C11">
        <v>0.34</v>
      </c>
      <c r="D11">
        <v>1.54</v>
      </c>
      <c r="E11">
        <v>1.21</v>
      </c>
    </row>
    <row r="12" spans="2:5" x14ac:dyDescent="0.3">
      <c r="B12" t="s">
        <v>72</v>
      </c>
      <c r="C12">
        <v>0.34</v>
      </c>
      <c r="D12">
        <v>2.0499999999999998</v>
      </c>
      <c r="E12">
        <v>0.99</v>
      </c>
    </row>
    <row r="13" spans="2:5" x14ac:dyDescent="0.3">
      <c r="B13" t="s">
        <v>73</v>
      </c>
      <c r="C13">
        <v>0.54</v>
      </c>
      <c r="D13">
        <v>-0.97</v>
      </c>
      <c r="E13">
        <v>0.63</v>
      </c>
    </row>
    <row r="14" spans="2:5" x14ac:dyDescent="0.3">
      <c r="B14" t="s">
        <v>74</v>
      </c>
      <c r="C14">
        <v>0.34</v>
      </c>
      <c r="D14">
        <v>-1.96</v>
      </c>
      <c r="E14">
        <v>1.8</v>
      </c>
    </row>
    <row r="15" spans="2:5" x14ac:dyDescent="0.3">
      <c r="B15" t="s">
        <v>75</v>
      </c>
      <c r="C15">
        <v>0.4</v>
      </c>
      <c r="D15">
        <v>-1.07</v>
      </c>
      <c r="E15">
        <v>1.1599999999999999</v>
      </c>
    </row>
    <row r="16" spans="2:5" x14ac:dyDescent="0.3">
      <c r="B16" t="s">
        <v>76</v>
      </c>
      <c r="C16">
        <v>-1.06</v>
      </c>
      <c r="D16">
        <v>1.68</v>
      </c>
      <c r="E16">
        <v>-3.23</v>
      </c>
    </row>
    <row r="17" spans="2:15" x14ac:dyDescent="0.3">
      <c r="B17" t="s">
        <v>77</v>
      </c>
      <c r="C17">
        <v>2.46</v>
      </c>
      <c r="D17">
        <v>1.72</v>
      </c>
      <c r="E17">
        <v>-1.53</v>
      </c>
    </row>
    <row r="18" spans="2:15" x14ac:dyDescent="0.3">
      <c r="B18" t="s">
        <v>78</v>
      </c>
      <c r="C18">
        <v>0</v>
      </c>
      <c r="D18">
        <v>0</v>
      </c>
      <c r="E18">
        <v>0</v>
      </c>
    </row>
    <row r="19" spans="2:15" x14ac:dyDescent="0.3">
      <c r="B19" t="s">
        <v>79</v>
      </c>
      <c r="C19">
        <v>0.39</v>
      </c>
      <c r="D19">
        <v>1.95</v>
      </c>
      <c r="E19">
        <v>0.78</v>
      </c>
    </row>
    <row r="20" spans="2:15" x14ac:dyDescent="0.3">
      <c r="B20" t="s">
        <v>80</v>
      </c>
      <c r="C20">
        <v>0.39</v>
      </c>
      <c r="D20">
        <v>0.64</v>
      </c>
      <c r="E20">
        <v>-6.9999999999999993E-2</v>
      </c>
    </row>
    <row r="21" spans="2:15" x14ac:dyDescent="0.3">
      <c r="B21" t="s">
        <v>81</v>
      </c>
      <c r="C21">
        <v>0.45</v>
      </c>
      <c r="D21">
        <v>2.1599999999999997</v>
      </c>
      <c r="E21">
        <v>0.14000000000000001</v>
      </c>
    </row>
    <row r="22" spans="2:15" x14ac:dyDescent="0.3">
      <c r="B22" t="s">
        <v>82</v>
      </c>
      <c r="C22">
        <v>0.57999999999999996</v>
      </c>
      <c r="D22">
        <v>2.0499999999999998</v>
      </c>
      <c r="E22">
        <v>0.35000000000000003</v>
      </c>
    </row>
    <row r="23" spans="2:15" x14ac:dyDescent="0.3">
      <c r="B23" t="s">
        <v>83</v>
      </c>
      <c r="C23">
        <v>0.7</v>
      </c>
      <c r="D23">
        <v>0.43</v>
      </c>
      <c r="E23">
        <v>0.7</v>
      </c>
    </row>
    <row r="24" spans="2:15" x14ac:dyDescent="0.3">
      <c r="B24" t="s">
        <v>84</v>
      </c>
      <c r="C24">
        <v>0.64</v>
      </c>
      <c r="D24">
        <v>-2.67</v>
      </c>
      <c r="E24">
        <v>2.2899999999999996</v>
      </c>
    </row>
    <row r="25" spans="2:15" x14ac:dyDescent="0.3">
      <c r="B25" t="s">
        <v>85</v>
      </c>
      <c r="C25">
        <v>1.26</v>
      </c>
      <c r="D25">
        <v>-2.5499999999999998</v>
      </c>
      <c r="E25">
        <v>3.05</v>
      </c>
    </row>
    <row r="26" spans="2:15" x14ac:dyDescent="0.3">
      <c r="F26" s="15" t="s">
        <v>90</v>
      </c>
      <c r="G26" s="15"/>
      <c r="H26" s="15"/>
      <c r="I26" s="15"/>
      <c r="J26" s="15"/>
      <c r="K26" s="15"/>
      <c r="L26" s="15"/>
      <c r="M26" s="15"/>
      <c r="N26" s="15"/>
      <c r="O26" s="15"/>
    </row>
    <row r="27" spans="2:15" x14ac:dyDescent="0.3"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2:15" x14ac:dyDescent="0.3"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2:15" x14ac:dyDescent="0.3"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x14ac:dyDescent="0.3"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2:15" x14ac:dyDescent="0.3"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2:15" x14ac:dyDescent="0.3"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6:15" x14ac:dyDescent="0.3"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6:15" x14ac:dyDescent="0.3"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6:15" x14ac:dyDescent="0.3">
      <c r="F35" s="15"/>
      <c r="G35" s="15"/>
      <c r="H35" s="15"/>
      <c r="I35" s="15"/>
      <c r="J35" s="15"/>
      <c r="K35" s="15"/>
      <c r="L35" s="15"/>
      <c r="M35" s="15"/>
      <c r="N35" s="15"/>
      <c r="O35" s="15"/>
    </row>
  </sheetData>
  <mergeCells count="1">
    <mergeCell ref="F26:O3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1E68-1A01-4F21-BD39-3D4CAB025153}">
  <dimension ref="A1:Z2"/>
  <sheetViews>
    <sheetView showGridLines="0" zoomScale="72" zoomScaleNormal="120" workbookViewId="0">
      <selection activeCell="AE25" sqref="AE25"/>
    </sheetView>
  </sheetViews>
  <sheetFormatPr defaultRowHeight="14.4" x14ac:dyDescent="0.3"/>
  <sheetData>
    <row r="1" spans="1:26" ht="23.4" customHeight="1" x14ac:dyDescent="0.3">
      <c r="A1" s="16" t="s">
        <v>91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</sheetData>
  <mergeCells count="1">
    <mergeCell ref="A1:Z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All_India_Index_Upto_April23</vt:lpstr>
      <vt:lpstr>Ans1</vt:lpstr>
      <vt:lpstr>Ans2</vt:lpstr>
      <vt:lpstr>Ans3</vt:lpstr>
      <vt:lpstr>Ans3.2</vt:lpstr>
      <vt:lpstr>Ans4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</dc:creator>
  <cp:lastModifiedBy>Mithun M</cp:lastModifiedBy>
  <dcterms:created xsi:type="dcterms:W3CDTF">2026-06-01T10:28:41Z</dcterms:created>
  <dcterms:modified xsi:type="dcterms:W3CDTF">2026-06-09T04:44:13Z</dcterms:modified>
</cp:coreProperties>
</file>